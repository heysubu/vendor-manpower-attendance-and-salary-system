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roject Submition\"/>
    </mc:Choice>
  </mc:AlternateContent>
  <xr:revisionPtr revIDLastSave="0" documentId="13_ncr:1_{025C6861-3089-4820-9153-6944EB0D938F}" xr6:coauthVersionLast="47" xr6:coauthVersionMax="47" xr10:uidLastSave="{00000000-0000-0000-0000-000000000000}"/>
  <bookViews>
    <workbookView xWindow="-120" yWindow="-120" windowWidth="20640" windowHeight="11040" tabRatio="657" xr2:uid="{00000000-000D-0000-FFFF-FFFF00000000}"/>
  </bookViews>
  <sheets>
    <sheet name="Template File" sheetId="20" r:id="rId1"/>
    <sheet name="Sheet Tool" sheetId="19" r:id="rId2"/>
    <sheet name="Viman Nagar Vs Manpower Feb-26" sheetId="23" r:id="rId3"/>
  </sheets>
  <definedNames>
    <definedName name="_xlnm._FilterDatabase" localSheetId="0" hidden="1">'Template File'!$A$4:$AV$4</definedName>
    <definedName name="_xlnm._FilterDatabase" localSheetId="2" hidden="1">'Viman Nagar Vs Manpower Feb-26'!$A$2:$AU$11</definedName>
    <definedName name="Attendance" localSheetId="0">#REF!</definedName>
    <definedName name="Attendance" localSheetId="2">#REF!</definedName>
    <definedName name="Attendance">#REF!</definedName>
    <definedName name="dd" localSheetId="0">#REF!</definedName>
    <definedName name="dd" localSheetId="2">#REF!</definedName>
    <definedName name="dd">#REF!</definedName>
    <definedName name="Designation" localSheetId="0">#REF!</definedName>
    <definedName name="Designation" localSheetId="2">#REF!</definedName>
    <definedName name="Designation">#REF!</definedName>
    <definedName name="_xlnm.Print_Area" localSheetId="0">'Template File'!$A$2:$AR$14</definedName>
    <definedName name="_xlnm.Print_Area" localSheetId="2">'Viman Nagar Vs Manpower Feb-26'!$A$2:$AR$10</definedName>
    <definedName name="Shift" localSheetId="0">#REF!</definedName>
    <definedName name="Shift" localSheetId="2">#REF!</definedName>
    <definedName name="Shift">#REF!</definedName>
    <definedName name="Wagoli" localSheetId="0">#REF!</definedName>
    <definedName name="Wagoli" localSheetId="2">#REF!</definedName>
    <definedName name="Wagoli">#REF!</definedName>
    <definedName name="xts" localSheetId="0">#REF!</definedName>
    <definedName name="xts" localSheetId="2">#REF!</definedName>
    <definedName name="x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3" l="1"/>
  <c r="AK8" i="23"/>
  <c r="AL8" i="23"/>
  <c r="AM8" i="23"/>
  <c r="AN8" i="23"/>
  <c r="AP8" i="23"/>
  <c r="AQ8" i="23"/>
  <c r="F4" i="23"/>
  <c r="G4" i="23" s="1"/>
  <c r="G2" i="23"/>
  <c r="C19" i="20"/>
  <c r="C20" i="20"/>
  <c r="C21" i="20"/>
  <c r="C18" i="20"/>
  <c r="B22" i="20"/>
  <c r="C16" i="23"/>
  <c r="C15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AP10" i="23"/>
  <c r="AQ10" i="23" s="1"/>
  <c r="AN10" i="23"/>
  <c r="AM10" i="23"/>
  <c r="AL10" i="23"/>
  <c r="AK10" i="23"/>
  <c r="AP9" i="23"/>
  <c r="AQ9" i="23" s="1"/>
  <c r="AN9" i="23"/>
  <c r="AM9" i="23"/>
  <c r="AL9" i="23"/>
  <c r="AK9" i="23"/>
  <c r="AP7" i="23"/>
  <c r="AQ7" i="23" s="1"/>
  <c r="AN7" i="23"/>
  <c r="AM7" i="23"/>
  <c r="AL7" i="23"/>
  <c r="AK7" i="23"/>
  <c r="AP6" i="23"/>
  <c r="AQ6" i="23" s="1"/>
  <c r="AN6" i="23"/>
  <c r="AM6" i="23"/>
  <c r="AL6" i="23"/>
  <c r="AK6" i="23"/>
  <c r="AP5" i="23"/>
  <c r="AQ5" i="23" s="1"/>
  <c r="AN5" i="23"/>
  <c r="AM5" i="23"/>
  <c r="AL5" i="23"/>
  <c r="AK5" i="23"/>
  <c r="E5" i="23"/>
  <c r="AP5" i="20"/>
  <c r="AQ5" i="20" s="1"/>
  <c r="AO8" i="23" l="1"/>
  <c r="AR8" i="23" s="1"/>
  <c r="AS8" i="23" s="1"/>
  <c r="D15" i="23"/>
  <c r="D16" i="23"/>
  <c r="D17" i="23"/>
  <c r="D14" i="23"/>
  <c r="H4" i="23"/>
  <c r="I4" i="23" s="1"/>
  <c r="J4" i="23" s="1"/>
  <c r="K4" i="23" s="1"/>
  <c r="L4" i="23" s="1"/>
  <c r="M4" i="23" s="1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X4" i="23" s="1"/>
  <c r="Y4" i="23" s="1"/>
  <c r="Z4" i="23" s="1"/>
  <c r="AA4" i="23" s="1"/>
  <c r="AB4" i="23" s="1"/>
  <c r="AC4" i="23" s="1"/>
  <c r="AD4" i="23" s="1"/>
  <c r="AE4" i="23" s="1"/>
  <c r="AF4" i="23" s="1"/>
  <c r="AG4" i="23" s="1"/>
  <c r="AH4" i="23" s="1"/>
  <c r="AI4" i="23" s="1"/>
  <c r="AJ4" i="23" s="1"/>
  <c r="G3" i="23"/>
  <c r="F3" i="23"/>
  <c r="AO5" i="23"/>
  <c r="AR5" i="23" s="1"/>
  <c r="B15" i="23" s="1"/>
  <c r="AO10" i="23"/>
  <c r="AR10" i="23" s="1"/>
  <c r="E6" i="23"/>
  <c r="E7" i="23"/>
  <c r="E9" i="23"/>
  <c r="AO6" i="23"/>
  <c r="AR6" i="23" s="1"/>
  <c r="B16" i="23" s="1"/>
  <c r="B17" i="23"/>
  <c r="AO7" i="23"/>
  <c r="AR7" i="23" s="1"/>
  <c r="AO9" i="23"/>
  <c r="AR9" i="23" s="1"/>
  <c r="B14" i="23" s="1"/>
  <c r="AS10" i="23"/>
  <c r="AQ11" i="23"/>
  <c r="AK11" i="23"/>
  <c r="G2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AP14" i="20"/>
  <c r="AQ14" i="20" s="1"/>
  <c r="AN14" i="20"/>
  <c r="AM14" i="20"/>
  <c r="AL14" i="20"/>
  <c r="AK14" i="20"/>
  <c r="AP13" i="20"/>
  <c r="AQ13" i="20" s="1"/>
  <c r="AN13" i="20"/>
  <c r="AM13" i="20"/>
  <c r="AL13" i="20"/>
  <c r="AK13" i="20"/>
  <c r="AP12" i="20"/>
  <c r="AQ12" i="20" s="1"/>
  <c r="AN12" i="20"/>
  <c r="AM12" i="20"/>
  <c r="AL12" i="20"/>
  <c r="AK12" i="20"/>
  <c r="AP11" i="20"/>
  <c r="AQ11" i="20" s="1"/>
  <c r="AN11" i="20"/>
  <c r="AM11" i="20"/>
  <c r="AL11" i="20"/>
  <c r="AK11" i="20"/>
  <c r="AP10" i="20"/>
  <c r="AQ10" i="20" s="1"/>
  <c r="AN10" i="20"/>
  <c r="AM10" i="20"/>
  <c r="AL10" i="20"/>
  <c r="AK10" i="20"/>
  <c r="AP9" i="20"/>
  <c r="AQ9" i="20" s="1"/>
  <c r="AN9" i="20"/>
  <c r="AM9" i="20"/>
  <c r="AL9" i="20"/>
  <c r="AK9" i="20"/>
  <c r="AP8" i="20"/>
  <c r="AQ8" i="20" s="1"/>
  <c r="AN8" i="20"/>
  <c r="AM8" i="20"/>
  <c r="AL8" i="20"/>
  <c r="AK8" i="20"/>
  <c r="AP7" i="20"/>
  <c r="AQ7" i="20" s="1"/>
  <c r="AN7" i="20"/>
  <c r="AM7" i="20"/>
  <c r="AL7" i="20"/>
  <c r="AK7" i="20"/>
  <c r="AP6" i="20"/>
  <c r="AQ6" i="20" s="1"/>
  <c r="AN6" i="20"/>
  <c r="AM6" i="20"/>
  <c r="AL6" i="20"/>
  <c r="AK6" i="20"/>
  <c r="AN5" i="20"/>
  <c r="AM5" i="20"/>
  <c r="AL5" i="20"/>
  <c r="AK5" i="20"/>
  <c r="F4" i="20"/>
  <c r="E15" i="23" l="1"/>
  <c r="E16" i="23"/>
  <c r="E14" i="23"/>
  <c r="AS7" i="23"/>
  <c r="E17" i="23"/>
  <c r="E8" i="20"/>
  <c r="E12" i="20"/>
  <c r="D19" i="20"/>
  <c r="D23" i="20"/>
  <c r="E9" i="20"/>
  <c r="E13" i="20"/>
  <c r="D20" i="20"/>
  <c r="D18" i="20"/>
  <c r="E6" i="20"/>
  <c r="E10" i="20"/>
  <c r="E14" i="20"/>
  <c r="D21" i="20"/>
  <c r="E7" i="20"/>
  <c r="E11" i="20"/>
  <c r="E5" i="20"/>
  <c r="D22" i="20"/>
  <c r="E22" i="20" s="1"/>
  <c r="AO10" i="20"/>
  <c r="F3" i="20"/>
  <c r="G4" i="20"/>
  <c r="C17" i="23"/>
  <c r="C18" i="23" s="1"/>
  <c r="AS9" i="23"/>
  <c r="AS6" i="23"/>
  <c r="AO11" i="23"/>
  <c r="AR11" i="23"/>
  <c r="AS5" i="23"/>
  <c r="H3" i="23"/>
  <c r="AO12" i="20"/>
  <c r="AR12" i="20" s="1"/>
  <c r="AO8" i="20"/>
  <c r="AR8" i="20" s="1"/>
  <c r="AR10" i="20"/>
  <c r="AO11" i="20"/>
  <c r="AR11" i="20" s="1"/>
  <c r="AO6" i="20"/>
  <c r="AR6" i="20" s="1"/>
  <c r="AO14" i="20"/>
  <c r="AR14" i="20" s="1"/>
  <c r="AO9" i="20"/>
  <c r="AR9" i="20" s="1"/>
  <c r="AO13" i="20"/>
  <c r="AR13" i="20" s="1"/>
  <c r="AO7" i="20"/>
  <c r="AR7" i="20" s="1"/>
  <c r="AK15" i="20"/>
  <c r="AQ15" i="20"/>
  <c r="AO5" i="20"/>
  <c r="AS7" i="20" l="1"/>
  <c r="AS12" i="20"/>
  <c r="AS13" i="20"/>
  <c r="AS11" i="20"/>
  <c r="B20" i="20"/>
  <c r="E20" i="20" s="1"/>
  <c r="AS6" i="20"/>
  <c r="C22" i="20"/>
  <c r="C23" i="20"/>
  <c r="AS9" i="20"/>
  <c r="B18" i="20"/>
  <c r="E18" i="20" s="1"/>
  <c r="AS10" i="20"/>
  <c r="B23" i="20"/>
  <c r="E23" i="20" s="1"/>
  <c r="AS14" i="20"/>
  <c r="AS8" i="20"/>
  <c r="B21" i="20"/>
  <c r="E21" i="20" s="1"/>
  <c r="G3" i="20"/>
  <c r="H4" i="20"/>
  <c r="AS11" i="23"/>
  <c r="B18" i="23"/>
  <c r="I3" i="23"/>
  <c r="C24" i="20"/>
  <c r="AR5" i="20"/>
  <c r="B19" i="20" s="1"/>
  <c r="E19" i="20" s="1"/>
  <c r="AO15" i="20"/>
  <c r="E24" i="20" l="1"/>
  <c r="E25" i="20" s="1"/>
  <c r="E26" i="20" s="1"/>
  <c r="AS5" i="20"/>
  <c r="I4" i="20"/>
  <c r="H3" i="20"/>
  <c r="E18" i="23"/>
  <c r="J3" i="23"/>
  <c r="AS15" i="20"/>
  <c r="AR15" i="20"/>
  <c r="E19" i="23" l="1"/>
  <c r="E20" i="23" s="1"/>
  <c r="E21" i="23" s="1"/>
  <c r="E22" i="23" s="1"/>
  <c r="J4" i="20"/>
  <c r="I3" i="20"/>
  <c r="K3" i="23"/>
  <c r="E27" i="20"/>
  <c r="E28" i="20" s="1"/>
  <c r="B24" i="20"/>
  <c r="K4" i="20" l="1"/>
  <c r="J3" i="20"/>
  <c r="L3" i="23"/>
  <c r="L4" i="20" l="1"/>
  <c r="K3" i="20"/>
  <c r="M3" i="23"/>
  <c r="M4" i="20" l="1"/>
  <c r="L3" i="20"/>
  <c r="N3" i="23"/>
  <c r="N4" i="20" l="1"/>
  <c r="M3" i="20"/>
  <c r="O3" i="23"/>
  <c r="O4" i="20" l="1"/>
  <c r="N3" i="20"/>
  <c r="P3" i="23"/>
  <c r="P4" i="20" l="1"/>
  <c r="O3" i="20"/>
  <c r="Q3" i="23"/>
  <c r="Q4" i="20" l="1"/>
  <c r="P3" i="20"/>
  <c r="R3" i="23"/>
  <c r="R4" i="20" l="1"/>
  <c r="Q3" i="20"/>
  <c r="S3" i="23"/>
  <c r="S4" i="20" l="1"/>
  <c r="R3" i="20"/>
  <c r="T3" i="23"/>
  <c r="T4" i="20" l="1"/>
  <c r="S3" i="20"/>
  <c r="U3" i="23"/>
  <c r="U4" i="20" l="1"/>
  <c r="T3" i="20"/>
  <c r="V3" i="23"/>
  <c r="V4" i="20" l="1"/>
  <c r="U3" i="20"/>
  <c r="W3" i="23"/>
  <c r="W4" i="20" l="1"/>
  <c r="V3" i="20"/>
  <c r="X3" i="23"/>
  <c r="X4" i="20" l="1"/>
  <c r="W3" i="20"/>
  <c r="Y3" i="23"/>
  <c r="Y4" i="20" l="1"/>
  <c r="X3" i="20"/>
  <c r="Z3" i="23"/>
  <c r="Z4" i="20" l="1"/>
  <c r="Y3" i="20"/>
  <c r="AA3" i="23"/>
  <c r="AA4" i="20" l="1"/>
  <c r="Z3" i="20"/>
  <c r="AB3" i="23"/>
  <c r="AB4" i="20" l="1"/>
  <c r="AA3" i="20"/>
  <c r="AC3" i="23"/>
  <c r="AC4" i="20" l="1"/>
  <c r="AB3" i="20"/>
  <c r="AD3" i="23"/>
  <c r="AD4" i="20" l="1"/>
  <c r="AC3" i="20"/>
  <c r="AE3" i="23"/>
  <c r="AE4" i="20" l="1"/>
  <c r="AD3" i="20"/>
  <c r="AF3" i="23"/>
  <c r="AF4" i="20" l="1"/>
  <c r="AE3" i="20"/>
  <c r="AG3" i="23"/>
  <c r="AG4" i="20" l="1"/>
  <c r="AF3" i="20"/>
  <c r="AH3" i="23"/>
  <c r="AH4" i="20" l="1"/>
  <c r="AG3" i="20"/>
  <c r="AI3" i="23"/>
  <c r="AI4" i="20" l="1"/>
  <c r="AH3" i="20"/>
  <c r="AJ3" i="23"/>
  <c r="AJ4" i="20" l="1"/>
  <c r="AJ3" i="20" s="1"/>
  <c r="AI3" i="20"/>
</calcChain>
</file>

<file path=xl/sharedStrings.xml><?xml version="1.0" encoding="utf-8"?>
<sst xmlns="http://schemas.openxmlformats.org/spreadsheetml/2006/main" count="252" uniqueCount="50">
  <si>
    <t>Absent</t>
  </si>
  <si>
    <t>Total Working Days</t>
  </si>
  <si>
    <t>Total Amount</t>
  </si>
  <si>
    <t>Remark</t>
  </si>
  <si>
    <t>Employee Name</t>
  </si>
  <si>
    <t>Designation</t>
  </si>
  <si>
    <t>Per Day</t>
  </si>
  <si>
    <t>Present</t>
  </si>
  <si>
    <t>WO</t>
  </si>
  <si>
    <t>CM</t>
  </si>
  <si>
    <t>OT Hours</t>
  </si>
  <si>
    <t>OT Days</t>
  </si>
  <si>
    <t>DAY</t>
  </si>
  <si>
    <t>Amount</t>
  </si>
  <si>
    <t>Present Days</t>
  </si>
  <si>
    <t>Head count</t>
  </si>
  <si>
    <t xml:space="preserve">Per day </t>
  </si>
  <si>
    <t>Pantry Boy</t>
  </si>
  <si>
    <t>HD</t>
  </si>
  <si>
    <t>Total Day
[P+W/O+HD]</t>
  </si>
  <si>
    <t xml:space="preserve">HK </t>
  </si>
  <si>
    <t>Sr  .No</t>
  </si>
  <si>
    <t>Monthly Salary</t>
  </si>
  <si>
    <t>Vendor Name</t>
  </si>
  <si>
    <t>Company / Location Name</t>
  </si>
  <si>
    <t xml:space="preserve">Villa </t>
  </si>
  <si>
    <t>Viman Nagar</t>
  </si>
  <si>
    <t>NovaTex Pvt Ltd</t>
  </si>
  <si>
    <t>Category</t>
  </si>
  <si>
    <t>Security Guard Attendance</t>
  </si>
  <si>
    <t>HouseKeeping Attendance</t>
  </si>
  <si>
    <t>Company name:</t>
  </si>
  <si>
    <t>Vendor name:</t>
  </si>
  <si>
    <t>Manpower Solution Pvt Ltd</t>
  </si>
  <si>
    <t>VRC Force Pvt Ltd</t>
  </si>
  <si>
    <t>Total (A)</t>
  </si>
  <si>
    <t>Managemnt Fee (D)</t>
  </si>
  <si>
    <t>C+D ( E )</t>
  </si>
  <si>
    <t>GST ( F )</t>
  </si>
  <si>
    <t>Final Amount (E+F)</t>
  </si>
  <si>
    <t>Supervisor</t>
  </si>
  <si>
    <t>SG A</t>
  </si>
  <si>
    <t>SG B</t>
  </si>
  <si>
    <t>P8</t>
  </si>
  <si>
    <t>P</t>
  </si>
  <si>
    <t>P3</t>
  </si>
  <si>
    <t>P4</t>
  </si>
  <si>
    <t>P7</t>
  </si>
  <si>
    <t>SG &amp; HK Attendance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</si>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</sst>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#,##0.00&quot; &quot;;&quot;-&quot;#,##0.00&quot; &quot;;&quot;-&quot;#&quot; &quot;;@&quot; &quot;"/>
    <numFmt numFmtId="166" formatCode="* #,##0.00\ ;* \-#,##0.00\ ;* \-#\ ;@\ "/>
    <numFmt numFmtId="167" formatCode="_(* #,##0.00_);_(* \(#,##0.00\);_(* \-??_);_(@_)"/>
    <numFmt numFmtId="168" formatCode="#,##0.00&quot; &quot;;&quot;-&quot;#,##0.00&quot; &quot;;&quot;-&quot;#&quot; &quot;;&quot; &quot;@&quot; &quot;"/>
    <numFmt numFmtId="169" formatCode="#,##0.00&quot; &quot;[$€-407];[Red]&quot;-&quot;#,##0.00&quot; &quot;[$€-407]"/>
    <numFmt numFmtId="170" formatCode="_ &quot;Rs.&quot;\ * #,##0.00_ ;_ &quot;Rs.&quot;\ * \-#,##0.00_ ;_ &quot;Rs.&quot;\ * &quot;-&quot;??_ ;_ @_ "/>
    <numFmt numFmtId="171" formatCode="_ * #,##0.00_ ;_ * \-#,##0.00_ ;_ * \-??_ ;_ @_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rgb="FF000000"/>
      <name val="Calibri1"/>
    </font>
    <font>
      <b/>
      <i/>
      <sz val="16"/>
      <color theme="1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1"/>
      <color theme="1"/>
      <name val="Liberation Sans"/>
      <family val="2"/>
    </font>
    <font>
      <b/>
      <i/>
      <u/>
      <sz val="11"/>
      <color theme="1"/>
      <name val="Arial"/>
      <family val="2"/>
    </font>
    <font>
      <b/>
      <sz val="18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  <font>
      <b/>
      <sz val="12"/>
      <color theme="1"/>
      <name val="Palatino Linotype"/>
      <family val="1"/>
    </font>
    <font>
      <b/>
      <sz val="20"/>
      <color theme="1"/>
      <name val="Palatino Linotype"/>
      <family val="1"/>
    </font>
    <font>
      <sz val="12"/>
      <name val="Palatino Linotype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2">
    <xf numFmtId="0" fontId="0" fillId="0" borderId="0"/>
    <xf numFmtId="43" fontId="1" fillId="0" borderId="0" applyFont="0" applyFill="0" applyBorder="0" applyAlignment="0" applyProtection="0"/>
    <xf numFmtId="165" fontId="2" fillId="0" borderId="0" applyBorder="0" applyProtection="0"/>
    <xf numFmtId="0" fontId="2" fillId="0" borderId="0"/>
    <xf numFmtId="166" fontId="3" fillId="0" borderId="0" applyBorder="0" applyProtection="0"/>
    <xf numFmtId="167" fontId="4" fillId="0" borderId="0" applyFill="0" applyBorder="0" applyAlignment="0" applyProtection="0"/>
    <xf numFmtId="9" fontId="5" fillId="2" borderId="0"/>
    <xf numFmtId="165" fontId="2" fillId="0" borderId="0"/>
    <xf numFmtId="168" fontId="5" fillId="0" borderId="0" applyBorder="0" applyProtection="0"/>
    <xf numFmtId="0" fontId="2" fillId="0" borderId="0" applyNumberFormat="0" applyBorder="0" applyProtection="0"/>
    <xf numFmtId="0" fontId="3" fillId="0" borderId="0"/>
    <xf numFmtId="0" fontId="6" fillId="0" borderId="0">
      <alignment horizontal="center"/>
    </xf>
    <xf numFmtId="0" fontId="6" fillId="0" borderId="0">
      <alignment horizontal="center" textRotation="90"/>
    </xf>
    <xf numFmtId="0" fontId="4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4" fillId="0" borderId="0"/>
    <xf numFmtId="0" fontId="8" fillId="0" borderId="0"/>
    <xf numFmtId="0" fontId="3" fillId="0" borderId="0"/>
    <xf numFmtId="9" fontId="3" fillId="0" borderId="0" applyBorder="0" applyProtection="0"/>
    <xf numFmtId="0" fontId="11" fillId="0" borderId="0"/>
    <xf numFmtId="169" fontId="11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2" fillId="0" borderId="0" applyBorder="0" applyProtection="0"/>
    <xf numFmtId="0" fontId="2" fillId="0" borderId="0"/>
    <xf numFmtId="166" fontId="3" fillId="0" borderId="0" applyBorder="0" applyProtection="0"/>
    <xf numFmtId="0" fontId="4" fillId="0" borderId="0"/>
    <xf numFmtId="0" fontId="8" fillId="0" borderId="0"/>
    <xf numFmtId="0" fontId="10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7" fillId="0" borderId="0" applyFill="0" applyBorder="0" applyAlignment="0" applyProtection="0"/>
    <xf numFmtId="0" fontId="4" fillId="0" borderId="0"/>
    <xf numFmtId="170" fontId="1" fillId="0" borderId="0" applyFont="0" applyFill="0" applyBorder="0" applyAlignment="0" applyProtection="0"/>
    <xf numFmtId="166" fontId="3" fillId="0" borderId="0" applyBorder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73">
    <xf numFmtId="0" fontId="0" fillId="0" borderId="0" xfId="0"/>
    <xf numFmtId="0" fontId="0" fillId="0" borderId="1" xfId="0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0" fontId="14" fillId="0" borderId="0" xfId="0" applyFont="1"/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16" fontId="13" fillId="3" borderId="1" xfId="0" applyNumberFormat="1" applyFont="1" applyFill="1" applyBorder="1" applyAlignment="1">
      <alignment horizontal="center" vertical="center" textRotation="90"/>
    </xf>
    <xf numFmtId="0" fontId="15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3" fontId="14" fillId="0" borderId="0" xfId="0" applyNumberFormat="1" applyFont="1"/>
    <xf numFmtId="0" fontId="13" fillId="3" borderId="8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13" fillId="3" borderId="15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43" fontId="14" fillId="0" borderId="0" xfId="1" applyFont="1" applyProtection="1"/>
    <xf numFmtId="43" fontId="17" fillId="0" borderId="1" xfId="1" applyFont="1" applyFill="1" applyBorder="1" applyAlignment="1" applyProtection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13" fillId="3" borderId="11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/>
    </xf>
    <xf numFmtId="43" fontId="17" fillId="0" borderId="0" xfId="1" applyFont="1" applyFill="1" applyBorder="1" applyAlignment="1" applyProtection="1">
      <alignment horizontal="center" vertical="center"/>
    </xf>
    <xf numFmtId="0" fontId="14" fillId="0" borderId="2" xfId="0" applyFont="1" applyBorder="1" applyAlignment="1">
      <alignment horizontal="center" vertical="center"/>
    </xf>
    <xf numFmtId="16" fontId="13" fillId="3" borderId="3" xfId="0" applyNumberFormat="1" applyFont="1" applyFill="1" applyBorder="1" applyAlignment="1">
      <alignment vertical="center" textRotation="90"/>
    </xf>
    <xf numFmtId="16" fontId="13" fillId="3" borderId="4" xfId="0" applyNumberFormat="1" applyFont="1" applyFill="1" applyBorder="1" applyAlignment="1">
      <alignment vertical="center" textRotation="90"/>
    </xf>
    <xf numFmtId="16" fontId="13" fillId="3" borderId="5" xfId="0" applyNumberFormat="1" applyFont="1" applyFill="1" applyBorder="1" applyAlignment="1">
      <alignment vertical="center" textRotation="90"/>
    </xf>
    <xf numFmtId="3" fontId="14" fillId="0" borderId="0" xfId="0" applyNumberFormat="1" applyFont="1"/>
    <xf numFmtId="0" fontId="14" fillId="0" borderId="3" xfId="0" applyFont="1" applyBorder="1" applyAlignment="1">
      <alignment horizontal="center" vertical="center"/>
    </xf>
    <xf numFmtId="43" fontId="14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43" fontId="13" fillId="0" borderId="13" xfId="0" applyNumberFormat="1" applyFont="1" applyBorder="1" applyAlignment="1">
      <alignment horizontal="center" vertical="center" wrapText="1"/>
    </xf>
    <xf numFmtId="43" fontId="13" fillId="3" borderId="15" xfId="0" applyNumberFormat="1" applyFont="1" applyFill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3" borderId="3" xfId="0" applyFont="1" applyFill="1" applyBorder="1" applyAlignment="1">
      <alignment vertical="center"/>
    </xf>
    <xf numFmtId="0" fontId="15" fillId="3" borderId="4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/>
    </xf>
    <xf numFmtId="43" fontId="14" fillId="0" borderId="10" xfId="0" applyNumberFormat="1" applyFont="1" applyBorder="1" applyAlignment="1">
      <alignment horizontal="left" vertical="center"/>
    </xf>
    <xf numFmtId="164" fontId="14" fillId="0" borderId="10" xfId="0" applyNumberFormat="1" applyFont="1" applyBorder="1" applyAlignment="1">
      <alignment horizontal="left"/>
    </xf>
    <xf numFmtId="0" fontId="13" fillId="3" borderId="10" xfId="0" applyFont="1" applyFill="1" applyBorder="1" applyAlignment="1">
      <alignment horizontal="center"/>
    </xf>
    <xf numFmtId="164" fontId="13" fillId="3" borderId="8" xfId="0" applyNumberFormat="1" applyFont="1" applyFill="1" applyBorder="1" applyAlignment="1">
      <alignment horizontal="left"/>
    </xf>
    <xf numFmtId="16" fontId="13" fillId="3" borderId="16" xfId="0" applyNumberFormat="1" applyFont="1" applyFill="1" applyBorder="1" applyAlignment="1">
      <alignment horizontal="center" vertical="center" textRotation="90"/>
    </xf>
    <xf numFmtId="0" fontId="13" fillId="3" borderId="18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9" fontId="14" fillId="4" borderId="18" xfId="0" applyNumberFormat="1" applyFont="1" applyFill="1" applyBorder="1" applyAlignment="1">
      <alignment horizontal="left" vertical="center" wrapText="1"/>
    </xf>
    <xf numFmtId="43" fontId="13" fillId="3" borderId="6" xfId="0" applyNumberFormat="1" applyFont="1" applyFill="1" applyBorder="1"/>
    <xf numFmtId="0" fontId="14" fillId="4" borderId="0" xfId="0" applyFont="1" applyFill="1"/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16" fontId="13" fillId="3" borderId="1" xfId="0" applyNumberFormat="1" applyFont="1" applyFill="1" applyBorder="1" applyAlignment="1">
      <alignment horizontal="center" vertical="center" textRotation="90" wrapText="1"/>
    </xf>
    <xf numFmtId="17" fontId="12" fillId="0" borderId="7" xfId="0" applyNumberFormat="1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5" fillId="4" borderId="4" xfId="0" applyFont="1" applyFill="1" applyBorder="1" applyAlignment="1" applyProtection="1">
      <alignment vertical="center"/>
      <protection locked="0"/>
    </xf>
    <xf numFmtId="1" fontId="13" fillId="4" borderId="4" xfId="0" applyNumberFormat="1" applyFont="1" applyFill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7" fontId="12" fillId="4" borderId="7" xfId="0" applyNumberFormat="1" applyFont="1" applyFill="1" applyBorder="1" applyAlignment="1" applyProtection="1">
      <alignment horizontal="left" vertic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4" fillId="4" borderId="19" xfId="0" applyFont="1" applyFill="1" applyBorder="1" applyAlignment="1" applyProtection="1">
      <alignment horizontal="center"/>
      <protection locked="0"/>
    </xf>
    <xf numFmtId="0" fontId="12" fillId="0" borderId="6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0" fontId="14" fillId="3" borderId="19" xfId="0" applyFont="1" applyFill="1" applyBorder="1" applyAlignment="1" applyProtection="1">
      <alignment horizontal="center"/>
      <protection locked="0"/>
    </xf>
    <xf numFmtId="17" fontId="20" fillId="4" borderId="7" xfId="0" applyNumberFormat="1" applyFont="1" applyFill="1" applyBorder="1" applyAlignment="1">
      <alignment horizontal="left" vertical="center"/>
    </xf>
    <xf numFmtId="0" fontId="0" fillId="5" borderId="0" xfId="0" applyFill="1"/>
    <xf numFmtId="0" fontId="19" fillId="5" borderId="9" xfId="0" applyFont="1" applyFill="1" applyBorder="1"/>
    <xf numFmtId="0" fontId="0" fillId="5" borderId="9" xfId="0" applyFill="1" applyBorder="1"/>
    <xf numFmtId="2" fontId="0" fillId="5" borderId="9" xfId="0" applyNumberFormat="1" applyFill="1" applyBorder="1"/>
  </cellXfs>
  <cellStyles count="92">
    <cellStyle name="Comma" xfId="1" builtinId="3"/>
    <cellStyle name="Comma 2" xfId="4" xr:uid="{00000000-0005-0000-0000-000001000000}"/>
    <cellStyle name="Comma 2 2" xfId="5" xr:uid="{00000000-0005-0000-0000-000002000000}"/>
    <cellStyle name="Comma 2 3" xfId="32" xr:uid="{00000000-0005-0000-0000-000003000000}"/>
    <cellStyle name="Comma 2 4" xfId="42" xr:uid="{00000000-0005-0000-0000-000004000000}"/>
    <cellStyle name="Comma 3" xfId="27" xr:uid="{00000000-0005-0000-0000-000005000000}"/>
    <cellStyle name="Comma 3 2" xfId="38" xr:uid="{00000000-0005-0000-0000-000006000000}"/>
    <cellStyle name="Comma 3 2 2" xfId="48" xr:uid="{00000000-0005-0000-0000-000007000000}"/>
    <cellStyle name="Comma 3 2 2 2" xfId="60" xr:uid="{00000000-0005-0000-0000-000008000000}"/>
    <cellStyle name="Comma 3 2 2 3" xfId="75" xr:uid="{00000000-0005-0000-0000-000009000000}"/>
    <cellStyle name="Comma 3 2 2 4" xfId="87" xr:uid="{00000000-0005-0000-0000-00000A000000}"/>
    <cellStyle name="Comma 3 2 3" xfId="54" xr:uid="{00000000-0005-0000-0000-00000B000000}"/>
    <cellStyle name="Comma 3 2 4" xfId="69" xr:uid="{00000000-0005-0000-0000-00000C000000}"/>
    <cellStyle name="Comma 3 2 5" xfId="81" xr:uid="{00000000-0005-0000-0000-00000D000000}"/>
    <cellStyle name="Comma 3 3" xfId="45" xr:uid="{00000000-0005-0000-0000-00000E000000}"/>
    <cellStyle name="Comma 3 4" xfId="50" xr:uid="{00000000-0005-0000-0000-00000F000000}"/>
    <cellStyle name="Comma 3 5" xfId="65" xr:uid="{00000000-0005-0000-0000-000010000000}"/>
    <cellStyle name="Comma 3 6" xfId="77" xr:uid="{00000000-0005-0000-0000-000011000000}"/>
    <cellStyle name="Comma 4" xfId="29" xr:uid="{00000000-0005-0000-0000-000012000000}"/>
    <cellStyle name="Comma 4 2" xfId="46" xr:uid="{00000000-0005-0000-0000-000013000000}"/>
    <cellStyle name="Comma 4 2 2" xfId="58" xr:uid="{00000000-0005-0000-0000-000014000000}"/>
    <cellStyle name="Comma 4 2 3" xfId="73" xr:uid="{00000000-0005-0000-0000-000015000000}"/>
    <cellStyle name="Comma 4 2 4" xfId="85" xr:uid="{00000000-0005-0000-0000-000016000000}"/>
    <cellStyle name="Comma 4 3" xfId="52" xr:uid="{00000000-0005-0000-0000-000017000000}"/>
    <cellStyle name="Comma 4 4" xfId="67" xr:uid="{00000000-0005-0000-0000-000018000000}"/>
    <cellStyle name="Comma 4 5" xfId="79" xr:uid="{00000000-0005-0000-0000-000019000000}"/>
    <cellStyle name="Comma 5" xfId="47" xr:uid="{00000000-0005-0000-0000-00001A000000}"/>
    <cellStyle name="Comma 5 2" xfId="59" xr:uid="{00000000-0005-0000-0000-00001B000000}"/>
    <cellStyle name="Comma 5 3" xfId="74" xr:uid="{00000000-0005-0000-0000-00001C000000}"/>
    <cellStyle name="Comma 5 4" xfId="86" xr:uid="{00000000-0005-0000-0000-00001D000000}"/>
    <cellStyle name="Comma 6" xfId="41" xr:uid="{00000000-0005-0000-0000-00001E000000}"/>
    <cellStyle name="Comma 6 2" xfId="56" xr:uid="{00000000-0005-0000-0000-00001F000000}"/>
    <cellStyle name="Comma 6 3" xfId="71" xr:uid="{00000000-0005-0000-0000-000020000000}"/>
    <cellStyle name="Comma 6 4" xfId="83" xr:uid="{00000000-0005-0000-0000-000021000000}"/>
    <cellStyle name="Comma 7" xfId="62" xr:uid="{00000000-0005-0000-0000-000022000000}"/>
    <cellStyle name="Comma 8" xfId="89" xr:uid="{00000000-0005-0000-0000-000023000000}"/>
    <cellStyle name="ConditionalStyle_1" xfId="6" xr:uid="{00000000-0005-0000-0000-000024000000}"/>
    <cellStyle name="Currency 2" xfId="39" xr:uid="{00000000-0005-0000-0000-000025000000}"/>
    <cellStyle name="Currency 3" xfId="44" xr:uid="{00000000-0005-0000-0000-000026000000}"/>
    <cellStyle name="Currency 3 2" xfId="57" xr:uid="{00000000-0005-0000-0000-000027000000}"/>
    <cellStyle name="Currency 3 3" xfId="72" xr:uid="{00000000-0005-0000-0000-000028000000}"/>
    <cellStyle name="Currency 3 4" xfId="84" xr:uid="{00000000-0005-0000-0000-000029000000}"/>
    <cellStyle name="Excel Built-in Comma" xfId="2" xr:uid="{00000000-0005-0000-0000-00002A000000}"/>
    <cellStyle name="Excel Built-in Comma 2" xfId="7" xr:uid="{00000000-0005-0000-0000-00002B000000}"/>
    <cellStyle name="Excel Built-in Comma 3" xfId="8" xr:uid="{00000000-0005-0000-0000-00002C000000}"/>
    <cellStyle name="Excel Built-in Comma 4" xfId="30" xr:uid="{00000000-0005-0000-0000-00002D000000}"/>
    <cellStyle name="Excel Built-in Explanatory Text" xfId="3" xr:uid="{00000000-0005-0000-0000-00002E000000}"/>
    <cellStyle name="Excel Built-in Explanatory Text 2" xfId="9" xr:uid="{00000000-0005-0000-0000-00002F000000}"/>
    <cellStyle name="Excel Built-in Explanatory Text 3" xfId="31" xr:uid="{00000000-0005-0000-0000-000030000000}"/>
    <cellStyle name="Explanatory Text 2" xfId="10" xr:uid="{00000000-0005-0000-0000-000031000000}"/>
    <cellStyle name="Heading" xfId="11" xr:uid="{00000000-0005-0000-0000-000032000000}"/>
    <cellStyle name="Heading1" xfId="12" xr:uid="{00000000-0005-0000-0000-000033000000}"/>
    <cellStyle name="Normal" xfId="0" builtinId="0"/>
    <cellStyle name="Normal 10" xfId="61" xr:uid="{00000000-0005-0000-0000-000035000000}"/>
    <cellStyle name="Normal 11" xfId="63" xr:uid="{00000000-0005-0000-0000-000036000000}"/>
    <cellStyle name="Normal 12" xfId="88" xr:uid="{00000000-0005-0000-0000-000037000000}"/>
    <cellStyle name="Normal 13" xfId="90" xr:uid="{00000000-0005-0000-0000-000038000000}"/>
    <cellStyle name="Normal 16" xfId="91" xr:uid="{00000000-0005-0000-0000-000039000000}"/>
    <cellStyle name="Normal 2" xfId="13" xr:uid="{00000000-0005-0000-0000-00003A000000}"/>
    <cellStyle name="Normal 2 2" xfId="14" xr:uid="{00000000-0005-0000-0000-00003B000000}"/>
    <cellStyle name="Normal 2 3" xfId="33" xr:uid="{00000000-0005-0000-0000-00003C000000}"/>
    <cellStyle name="Normal 3" xfId="15" xr:uid="{00000000-0005-0000-0000-00003D000000}"/>
    <cellStyle name="Normal 3 2" xfId="16" xr:uid="{00000000-0005-0000-0000-00003E000000}"/>
    <cellStyle name="Normal 3 3" xfId="34" xr:uid="{00000000-0005-0000-0000-00003F000000}"/>
    <cellStyle name="Normal 4" xfId="17" xr:uid="{00000000-0005-0000-0000-000040000000}"/>
    <cellStyle name="Normal 4 2" xfId="18" xr:uid="{00000000-0005-0000-0000-000041000000}"/>
    <cellStyle name="Normal 4 3" xfId="19" xr:uid="{00000000-0005-0000-0000-000042000000}"/>
    <cellStyle name="Normal 4 4" xfId="35" xr:uid="{00000000-0005-0000-0000-000043000000}"/>
    <cellStyle name="Normal 4 5" xfId="25" xr:uid="{00000000-0005-0000-0000-000044000000}"/>
    <cellStyle name="Normal 5" xfId="20" xr:uid="{00000000-0005-0000-0000-000045000000}"/>
    <cellStyle name="Normal 5 2" xfId="36" xr:uid="{00000000-0005-0000-0000-000046000000}"/>
    <cellStyle name="Normal 5 3" xfId="37" xr:uid="{00000000-0005-0000-0000-000047000000}"/>
    <cellStyle name="Normal 5 3 2" xfId="53" xr:uid="{00000000-0005-0000-0000-000048000000}"/>
    <cellStyle name="Normal 5 3 3" xfId="68" xr:uid="{00000000-0005-0000-0000-000049000000}"/>
    <cellStyle name="Normal 5 3 4" xfId="80" xr:uid="{00000000-0005-0000-0000-00004A000000}"/>
    <cellStyle name="Normal 5 4" xfId="49" xr:uid="{00000000-0005-0000-0000-00004B000000}"/>
    <cellStyle name="Normal 5 5" xfId="64" xr:uid="{00000000-0005-0000-0000-00004C000000}"/>
    <cellStyle name="Normal 5 6" xfId="76" xr:uid="{00000000-0005-0000-0000-00004D000000}"/>
    <cellStyle name="Normal 5 7" xfId="26" xr:uid="{00000000-0005-0000-0000-00004E000000}"/>
    <cellStyle name="Normal 6" xfId="21" xr:uid="{00000000-0005-0000-0000-00004F000000}"/>
    <cellStyle name="Normal 7" xfId="28" xr:uid="{00000000-0005-0000-0000-000050000000}"/>
    <cellStyle name="Normal 7 2" xfId="51" xr:uid="{00000000-0005-0000-0000-000051000000}"/>
    <cellStyle name="Normal 7 3" xfId="66" xr:uid="{00000000-0005-0000-0000-000052000000}"/>
    <cellStyle name="Normal 7 4" xfId="78" xr:uid="{00000000-0005-0000-0000-000053000000}"/>
    <cellStyle name="Normal 8" xfId="40" xr:uid="{00000000-0005-0000-0000-000054000000}"/>
    <cellStyle name="Normal 8 2" xfId="55" xr:uid="{00000000-0005-0000-0000-000055000000}"/>
    <cellStyle name="Normal 8 3" xfId="70" xr:uid="{00000000-0005-0000-0000-000056000000}"/>
    <cellStyle name="Normal 8 4" xfId="82" xr:uid="{00000000-0005-0000-0000-000057000000}"/>
    <cellStyle name="Normal 9" xfId="43" xr:uid="{00000000-0005-0000-0000-000058000000}"/>
    <cellStyle name="Percent 2" xfId="22" xr:uid="{00000000-0005-0000-0000-000059000000}"/>
    <cellStyle name="Result" xfId="23" xr:uid="{00000000-0005-0000-0000-00005A000000}"/>
    <cellStyle name="Result2" xfId="24" xr:uid="{00000000-0005-0000-0000-00005B000000}"/>
  </cellStyles>
  <dxfs count="36"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</dxfs>
  <tableStyles count="0" defaultTableStyle="TableStyleMedium2" defaultPivotStyle="PivotStyleLight16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29"/>
  <sheetViews>
    <sheetView showGridLines="0" tabSelected="1"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K10" sqref="K10"/>
    </sheetView>
  </sheetViews>
  <sheetFormatPr defaultColWidth="0" defaultRowHeight="16.5"/>
  <cols>
    <col min="1" max="1" width="21.140625" style="3" bestFit="1" customWidth="1"/>
    <col min="2" max="2" width="29.7109375" style="3" bestFit="1" customWidth="1"/>
    <col min="3" max="3" width="12.5703125" style="3" bestFit="1" customWidth="1"/>
    <col min="4" max="4" width="14.7109375" style="3" bestFit="1" customWidth="1"/>
    <col min="5" max="5" width="14.28515625" style="31" customWidth="1"/>
    <col min="6" max="32" width="4.85546875" style="3" bestFit="1" customWidth="1"/>
    <col min="33" max="35" width="5.140625" style="3" customWidth="1"/>
    <col min="36" max="36" width="4.85546875" style="3" bestFit="1" customWidth="1"/>
    <col min="37" max="37" width="8.42578125" style="3" bestFit="1" customWidth="1"/>
    <col min="38" max="38" width="14.7109375" style="3" bestFit="1" customWidth="1"/>
    <col min="39" max="39" width="5" style="3" bestFit="1" customWidth="1"/>
    <col min="40" max="40" width="4.5703125" style="3" bestFit="1" customWidth="1"/>
    <col min="41" max="41" width="14.28515625" style="3" bestFit="1" customWidth="1"/>
    <col min="42" max="42" width="11.28515625" style="3" bestFit="1" customWidth="1"/>
    <col min="43" max="43" width="10" style="3" bestFit="1" customWidth="1"/>
    <col min="44" max="44" width="20.140625" style="3" bestFit="1" customWidth="1"/>
    <col min="45" max="45" width="14.28515625" style="3" bestFit="1" customWidth="1"/>
    <col min="46" max="46" width="8.85546875" style="3" bestFit="1" customWidth="1"/>
    <col min="47" max="49" width="3.7109375" style="3" customWidth="1"/>
    <col min="50" max="16384" width="3.7109375" style="3" hidden="1"/>
  </cols>
  <sheetData>
    <row r="1" spans="1:47" ht="17.25" thickBot="1">
      <c r="A1" s="49" t="s">
        <v>31</v>
      </c>
      <c r="F1" s="64" t="s">
        <v>30</v>
      </c>
      <c r="G1" s="64"/>
      <c r="H1" s="64"/>
      <c r="I1" s="64"/>
      <c r="J1" s="64"/>
      <c r="K1" s="64"/>
      <c r="L1" s="64"/>
      <c r="Z1" s="49" t="s">
        <v>32</v>
      </c>
      <c r="AA1" s="49"/>
      <c r="AB1" s="49"/>
    </row>
    <row r="2" spans="1:47" ht="26.25" customHeight="1" thickBot="1">
      <c r="A2" s="65" t="s">
        <v>26</v>
      </c>
      <c r="B2" s="66"/>
      <c r="C2" s="66"/>
      <c r="D2" s="66"/>
      <c r="E2" s="66"/>
      <c r="F2" s="66"/>
      <c r="G2" s="60" t="str">
        <f>F1 &amp; " for the month"</f>
        <v>HouseKeeping Attendance for the month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2">
        <v>46054</v>
      </c>
      <c r="V2" s="62"/>
      <c r="W2" s="62"/>
      <c r="X2" s="55"/>
      <c r="Y2" s="63" t="s">
        <v>33</v>
      </c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7"/>
    </row>
    <row r="3" spans="1:47" ht="30">
      <c r="A3" s="35" t="s">
        <v>12</v>
      </c>
      <c r="B3" s="36"/>
      <c r="C3" s="58">
        <v>24</v>
      </c>
      <c r="D3" s="36"/>
      <c r="E3" s="37"/>
      <c r="F3" s="44" t="str">
        <f>IFERROR(TEXT(F4,"ddd"), "")</f>
        <v>Sun</v>
      </c>
      <c r="G3" s="44" t="str">
        <f t="shared" ref="G3:AJ3" si="0">IFERROR(TEXT(G4,"ddd"), "")</f>
        <v>Mon</v>
      </c>
      <c r="H3" s="44" t="str">
        <f t="shared" si="0"/>
        <v>Tue</v>
      </c>
      <c r="I3" s="44" t="str">
        <f t="shared" si="0"/>
        <v>Wed</v>
      </c>
      <c r="J3" s="44" t="str">
        <f t="shared" si="0"/>
        <v>Thu</v>
      </c>
      <c r="K3" s="44" t="str">
        <f t="shared" si="0"/>
        <v>Fri</v>
      </c>
      <c r="L3" s="44" t="str">
        <f t="shared" si="0"/>
        <v>Sat</v>
      </c>
      <c r="M3" s="44" t="str">
        <f t="shared" si="0"/>
        <v>Sun</v>
      </c>
      <c r="N3" s="44" t="str">
        <f t="shared" si="0"/>
        <v>Mon</v>
      </c>
      <c r="O3" s="44" t="str">
        <f t="shared" si="0"/>
        <v>Tue</v>
      </c>
      <c r="P3" s="44" t="str">
        <f t="shared" si="0"/>
        <v>Wed</v>
      </c>
      <c r="Q3" s="44" t="str">
        <f t="shared" si="0"/>
        <v>Thu</v>
      </c>
      <c r="R3" s="44" t="str">
        <f t="shared" si="0"/>
        <v>Fri</v>
      </c>
      <c r="S3" s="44" t="str">
        <f t="shared" si="0"/>
        <v>Sat</v>
      </c>
      <c r="T3" s="44" t="str">
        <f t="shared" si="0"/>
        <v>Sun</v>
      </c>
      <c r="U3" s="44" t="str">
        <f t="shared" si="0"/>
        <v>Mon</v>
      </c>
      <c r="V3" s="44" t="str">
        <f t="shared" si="0"/>
        <v>Tue</v>
      </c>
      <c r="W3" s="44" t="str">
        <f t="shared" si="0"/>
        <v>Wed</v>
      </c>
      <c r="X3" s="44" t="str">
        <f t="shared" si="0"/>
        <v>Thu</v>
      </c>
      <c r="Y3" s="44" t="str">
        <f t="shared" si="0"/>
        <v>Fri</v>
      </c>
      <c r="Z3" s="44" t="str">
        <f t="shared" si="0"/>
        <v>Sat</v>
      </c>
      <c r="AA3" s="44" t="str">
        <f t="shared" si="0"/>
        <v>Sun</v>
      </c>
      <c r="AB3" s="44" t="str">
        <f t="shared" si="0"/>
        <v>Mon</v>
      </c>
      <c r="AC3" s="44" t="str">
        <f t="shared" si="0"/>
        <v>Tue</v>
      </c>
      <c r="AD3" s="44" t="str">
        <f t="shared" si="0"/>
        <v>Wed</v>
      </c>
      <c r="AE3" s="44" t="str">
        <f t="shared" si="0"/>
        <v>Thu</v>
      </c>
      <c r="AF3" s="44" t="str">
        <f t="shared" si="0"/>
        <v>Fri</v>
      </c>
      <c r="AG3" s="44" t="str">
        <f t="shared" si="0"/>
        <v>Sat</v>
      </c>
      <c r="AH3" s="44" t="str">
        <f t="shared" si="0"/>
        <v/>
      </c>
      <c r="AI3" s="44" t="str">
        <f t="shared" si="0"/>
        <v/>
      </c>
      <c r="AJ3" s="44" t="str">
        <f t="shared" si="0"/>
        <v/>
      </c>
      <c r="AK3" s="24"/>
      <c r="AL3" s="25"/>
      <c r="AM3" s="25"/>
      <c r="AN3" s="25"/>
      <c r="AO3" s="25"/>
      <c r="AP3" s="25"/>
      <c r="AQ3" s="59">
        <v>8</v>
      </c>
      <c r="AR3" s="25"/>
      <c r="AS3" s="25"/>
      <c r="AT3" s="26"/>
    </row>
    <row r="4" spans="1:47" s="31" customFormat="1" ht="42.75" customHeight="1">
      <c r="A4" s="7" t="s">
        <v>21</v>
      </c>
      <c r="B4" s="7" t="s">
        <v>23</v>
      </c>
      <c r="C4" s="7" t="s">
        <v>4</v>
      </c>
      <c r="D4" s="7" t="s">
        <v>5</v>
      </c>
      <c r="E4" s="7" t="s">
        <v>6</v>
      </c>
      <c r="F4" s="54">
        <f>U2</f>
        <v>46054</v>
      </c>
      <c r="G4" s="54">
        <f>IFERROR(IF(MONTH(F4+1)=MONTH(F4), F4+1, ""), "")</f>
        <v>46055</v>
      </c>
      <c r="H4" s="54">
        <f t="shared" ref="H4:AJ4" si="1">IFERROR(IF(MONTH(G4+1)=MONTH(G4), G4+1, ""), "")</f>
        <v>46056</v>
      </c>
      <c r="I4" s="54">
        <f t="shared" si="1"/>
        <v>46057</v>
      </c>
      <c r="J4" s="54">
        <f t="shared" si="1"/>
        <v>46058</v>
      </c>
      <c r="K4" s="54">
        <f t="shared" si="1"/>
        <v>46059</v>
      </c>
      <c r="L4" s="54">
        <f t="shared" si="1"/>
        <v>46060</v>
      </c>
      <c r="M4" s="54">
        <f t="shared" si="1"/>
        <v>46061</v>
      </c>
      <c r="N4" s="54">
        <f t="shared" si="1"/>
        <v>46062</v>
      </c>
      <c r="O4" s="54">
        <f t="shared" si="1"/>
        <v>46063</v>
      </c>
      <c r="P4" s="54">
        <f t="shared" si="1"/>
        <v>46064</v>
      </c>
      <c r="Q4" s="54">
        <f t="shared" si="1"/>
        <v>46065</v>
      </c>
      <c r="R4" s="54">
        <f t="shared" si="1"/>
        <v>46066</v>
      </c>
      <c r="S4" s="54">
        <f t="shared" si="1"/>
        <v>46067</v>
      </c>
      <c r="T4" s="54">
        <f t="shared" si="1"/>
        <v>46068</v>
      </c>
      <c r="U4" s="54">
        <f t="shared" si="1"/>
        <v>46069</v>
      </c>
      <c r="V4" s="54">
        <f t="shared" si="1"/>
        <v>46070</v>
      </c>
      <c r="W4" s="54">
        <f t="shared" si="1"/>
        <v>46071</v>
      </c>
      <c r="X4" s="54">
        <f t="shared" si="1"/>
        <v>46072</v>
      </c>
      <c r="Y4" s="54">
        <f t="shared" si="1"/>
        <v>46073</v>
      </c>
      <c r="Z4" s="54">
        <f t="shared" si="1"/>
        <v>46074</v>
      </c>
      <c r="AA4" s="54">
        <f t="shared" si="1"/>
        <v>46075</v>
      </c>
      <c r="AB4" s="54">
        <f t="shared" si="1"/>
        <v>46076</v>
      </c>
      <c r="AC4" s="54">
        <f t="shared" si="1"/>
        <v>46077</v>
      </c>
      <c r="AD4" s="54">
        <f t="shared" si="1"/>
        <v>46078</v>
      </c>
      <c r="AE4" s="54">
        <f t="shared" si="1"/>
        <v>46079</v>
      </c>
      <c r="AF4" s="54">
        <f t="shared" si="1"/>
        <v>46080</v>
      </c>
      <c r="AG4" s="54">
        <f t="shared" si="1"/>
        <v>46081</v>
      </c>
      <c r="AH4" s="54" t="str">
        <f t="shared" si="1"/>
        <v/>
      </c>
      <c r="AI4" s="54" t="str">
        <f t="shared" si="1"/>
        <v/>
      </c>
      <c r="AJ4" s="54" t="str">
        <f t="shared" si="1"/>
        <v/>
      </c>
      <c r="AK4" s="5" t="s">
        <v>7</v>
      </c>
      <c r="AL4" s="5" t="s">
        <v>0</v>
      </c>
      <c r="AM4" s="5" t="s">
        <v>8</v>
      </c>
      <c r="AN4" s="5" t="s">
        <v>18</v>
      </c>
      <c r="AO4" s="5" t="s">
        <v>19</v>
      </c>
      <c r="AP4" s="5" t="s">
        <v>10</v>
      </c>
      <c r="AQ4" s="5" t="s">
        <v>11</v>
      </c>
      <c r="AR4" s="5" t="s">
        <v>1</v>
      </c>
      <c r="AS4" s="5" t="s">
        <v>2</v>
      </c>
      <c r="AT4" s="5" t="s">
        <v>3</v>
      </c>
    </row>
    <row r="5" spans="1:47" ht="18">
      <c r="A5" s="50">
        <v>1</v>
      </c>
      <c r="B5" s="50" t="s">
        <v>33</v>
      </c>
      <c r="C5" s="51"/>
      <c r="D5" s="52" t="s">
        <v>20</v>
      </c>
      <c r="E5" s="18">
        <f>IFERROR(VLOOKUP(D5,'Sheet Tool'!$B$3:$C$15,2,0)/$C$3,"")</f>
        <v>782.21458333333339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2">
        <f>COUNTIF(F5:AJ5,"P*")</f>
        <v>0</v>
      </c>
      <c r="AL5" s="2">
        <f>COUNTIF(F5:AJ5,"A")</f>
        <v>0</v>
      </c>
      <c r="AM5" s="2">
        <f>COUNTIF(F5:AJ5,"WO")</f>
        <v>0</v>
      </c>
      <c r="AN5" s="2">
        <f>COUNTIF(F5:AJ5,"HD")</f>
        <v>0</v>
      </c>
      <c r="AO5" s="2">
        <f>AK5+AN5</f>
        <v>0</v>
      </c>
      <c r="AP5" s="2">
        <f>(COUNTIF(F5:AJ5,"P1")*1)+(COUNTIF(F5:AJ5,"P2")*2)+(COUNTIF(F5:AJ5,"P3")*3)+(COUNTIF(F5:AJ5,"P4")*4)+(COUNTIF(F5:AJ5,"P5")*5)+(COUNTIF(F5:AJ5,"P6")*6)+(COUNTIF(F5:AJ5,"P7")*7)+(COUNTIF(F5:AJ5,"P8")*8)</f>
        <v>0</v>
      </c>
      <c r="AQ5" s="28">
        <f>AP5/$AQ$3</f>
        <v>0</v>
      </c>
      <c r="AR5" s="2">
        <f>AO5+AQ5</f>
        <v>0</v>
      </c>
      <c r="AS5" s="29">
        <f>IFERROR(AR5*E5, "")</f>
        <v>0</v>
      </c>
      <c r="AT5" s="2"/>
    </row>
    <row r="6" spans="1:47" ht="18">
      <c r="A6" s="50">
        <v>2</v>
      </c>
      <c r="B6" s="50" t="s">
        <v>33</v>
      </c>
      <c r="C6" s="51"/>
      <c r="D6" s="52" t="s">
        <v>9</v>
      </c>
      <c r="E6" s="18">
        <f>IFERROR(VLOOKUP(D6,'Sheet Tool'!$B$3:$C$15,2,0)/$C$3,"")</f>
        <v>782.21458333333339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2">
        <f>COUNTIF(F6:AJ6,"P*")</f>
        <v>0</v>
      </c>
      <c r="AL6" s="2">
        <f>COUNTIF(F6:AJ6,"A")</f>
        <v>0</v>
      </c>
      <c r="AM6" s="2">
        <f>COUNTIF(F6:AJ6,"WO")</f>
        <v>0</v>
      </c>
      <c r="AN6" s="2">
        <f>COUNTIF(F6:AJ6,"HD")</f>
        <v>0</v>
      </c>
      <c r="AO6" s="2">
        <f>AK6+AN6</f>
        <v>0</v>
      </c>
      <c r="AP6" s="2">
        <f>(COUNTIF(F6:AJ6,"P1")*1)+(COUNTIF(F6:AJ6,"P2")*2)+(COUNTIF(F6:AJ6,"P3")*3)+(COUNTIF(F6:AJ6,"P4")*4)+(COUNTIF(F6:AJ6,"P5")*5)+(COUNTIF(F6:AJ6,"P6")*6)+(COUNTIF(F6:AJ6,"P7")*7)+(COUNTIF(F6:AJ6,"P8")*8)</f>
        <v>0</v>
      </c>
      <c r="AQ6" s="28">
        <f t="shared" ref="AQ6:AQ14" si="2">AP6/$AQ$3</f>
        <v>0</v>
      </c>
      <c r="AR6" s="2">
        <f>AO6+AQ6</f>
        <v>0</v>
      </c>
      <c r="AS6" s="29">
        <f t="shared" ref="AS6:AS14" si="3">IFERROR(AR6*E6, "")</f>
        <v>0</v>
      </c>
      <c r="AT6" s="23"/>
    </row>
    <row r="7" spans="1:47" ht="18">
      <c r="A7" s="50">
        <v>3</v>
      </c>
      <c r="B7" s="50" t="s">
        <v>33</v>
      </c>
      <c r="C7" s="51"/>
      <c r="D7" s="52" t="s">
        <v>9</v>
      </c>
      <c r="E7" s="18">
        <f>IFERROR(VLOOKUP(D7,'Sheet Tool'!$B$3:$C$15,2,0)/$C$3,"")</f>
        <v>782.21458333333339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2">
        <f>COUNTIF(F7:AJ7,"P*")</f>
        <v>0</v>
      </c>
      <c r="AL7" s="2">
        <f>COUNTIF(F7:AJ7,"A")</f>
        <v>0</v>
      </c>
      <c r="AM7" s="2">
        <f>COUNTIF(F7:AJ7,"WO")</f>
        <v>0</v>
      </c>
      <c r="AN7" s="2">
        <f>COUNTIF(F7:AJ7,"HD")</f>
        <v>0</v>
      </c>
      <c r="AO7" s="2">
        <f>AK7+AN7</f>
        <v>0</v>
      </c>
      <c r="AP7" s="2">
        <f>(COUNTIF(F7:AJ7,"P1")*1)+(COUNTIF(F7:AJ7,"P2")*2)+(COUNTIF(F7:AJ7,"P3")*3)+(COUNTIF(F7:AJ7,"P4")*4)+(COUNTIF(F7:AJ7,"P5")*5)+(COUNTIF(F7:AJ7,"P6")*6)+(COUNTIF(F7:AJ7,"P7")*7)+(COUNTIF(F7:AJ7,"P8")*8)</f>
        <v>0</v>
      </c>
      <c r="AQ7" s="28">
        <f t="shared" si="2"/>
        <v>0</v>
      </c>
      <c r="AR7" s="2">
        <f>AO7+AQ7</f>
        <v>0</v>
      </c>
      <c r="AS7" s="29">
        <f t="shared" si="3"/>
        <v>0</v>
      </c>
      <c r="AT7" s="23"/>
    </row>
    <row r="8" spans="1:47" ht="18">
      <c r="A8" s="50">
        <v>4</v>
      </c>
      <c r="B8" s="50" t="s">
        <v>33</v>
      </c>
      <c r="C8" s="51"/>
      <c r="D8" s="52" t="s">
        <v>17</v>
      </c>
      <c r="E8" s="18">
        <f>IFERROR(VLOOKUP(D8,'Sheet Tool'!$B$3:$C$15,2,0)/$C$3,"")</f>
        <v>800.04666666666662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">
        <f t="shared" ref="AK8:AK13" si="4">COUNTIF(F8:AJ8,"P*")</f>
        <v>0</v>
      </c>
      <c r="AL8" s="2">
        <f t="shared" ref="AL8:AL13" si="5">COUNTIF(F8:AJ8,"A")</f>
        <v>0</v>
      </c>
      <c r="AM8" s="2">
        <f t="shared" ref="AM8:AM13" si="6">COUNTIF(F8:AJ8,"WO")</f>
        <v>0</v>
      </c>
      <c r="AN8" s="2">
        <f t="shared" ref="AN8:AN13" si="7">COUNTIF(F8:AJ8,"HD")</f>
        <v>0</v>
      </c>
      <c r="AO8" s="2">
        <f t="shared" ref="AO8:AO13" si="8">AK8+AN8</f>
        <v>0</v>
      </c>
      <c r="AP8" s="2">
        <f t="shared" ref="AP8:AP13" si="9">(COUNTIF(F8:AJ8,"P1")*1)+(COUNTIF(F8:AJ8,"P2")*2)+(COUNTIF(F8:AJ8,"P3")*3)+(COUNTIF(F8:AJ8,"P4")*4)+(COUNTIF(F8:AJ8,"P5")*5)+(COUNTIF(F8:AJ8,"P6")*6)+(COUNTIF(F8:AJ8,"P7")*7)+(COUNTIF(F8:AJ8,"P8")*8)</f>
        <v>0</v>
      </c>
      <c r="AQ8" s="28">
        <f t="shared" si="2"/>
        <v>0</v>
      </c>
      <c r="AR8" s="2">
        <f t="shared" ref="AR8:AR13" si="10">AO8+AQ8</f>
        <v>0</v>
      </c>
      <c r="AS8" s="29">
        <f t="shared" si="3"/>
        <v>0</v>
      </c>
      <c r="AT8" s="23"/>
    </row>
    <row r="9" spans="1:47" ht="18">
      <c r="A9" s="50">
        <v>5</v>
      </c>
      <c r="B9" s="50" t="s">
        <v>33</v>
      </c>
      <c r="C9" s="51"/>
      <c r="D9" s="52" t="s">
        <v>40</v>
      </c>
      <c r="E9" s="18">
        <f>IFERROR(VLOOKUP(D9,'Sheet Tool'!$B$3:$C$15,2,0)/$C$3,"")</f>
        <v>855.58333333333337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">
        <f t="shared" si="4"/>
        <v>0</v>
      </c>
      <c r="AL9" s="2">
        <f t="shared" si="5"/>
        <v>0</v>
      </c>
      <c r="AM9" s="2">
        <f t="shared" si="6"/>
        <v>0</v>
      </c>
      <c r="AN9" s="2">
        <f t="shared" si="7"/>
        <v>0</v>
      </c>
      <c r="AO9" s="2">
        <f t="shared" si="8"/>
        <v>0</v>
      </c>
      <c r="AP9" s="2">
        <f t="shared" si="9"/>
        <v>0</v>
      </c>
      <c r="AQ9" s="28">
        <f t="shared" si="2"/>
        <v>0</v>
      </c>
      <c r="AR9" s="2">
        <f t="shared" si="10"/>
        <v>0</v>
      </c>
      <c r="AS9" s="29">
        <f t="shared" si="3"/>
        <v>0</v>
      </c>
      <c r="AT9" s="23"/>
    </row>
    <row r="10" spans="1:47" ht="18">
      <c r="A10" s="50"/>
      <c r="B10" s="50"/>
      <c r="C10" s="51"/>
      <c r="D10" s="52" t="s">
        <v>42</v>
      </c>
      <c r="E10" s="18">
        <f>IFERROR(VLOOKUP(D10,'Sheet Tool'!$B$3:$C$15,2,0)/$C$3,"")</f>
        <v>1006.35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2">
        <f t="shared" si="4"/>
        <v>0</v>
      </c>
      <c r="AL10" s="2">
        <f t="shared" si="5"/>
        <v>0</v>
      </c>
      <c r="AM10" s="2">
        <f t="shared" si="6"/>
        <v>0</v>
      </c>
      <c r="AN10" s="2">
        <f t="shared" si="7"/>
        <v>0</v>
      </c>
      <c r="AO10" s="2">
        <f t="shared" si="8"/>
        <v>0</v>
      </c>
      <c r="AP10" s="2">
        <f t="shared" si="9"/>
        <v>0</v>
      </c>
      <c r="AQ10" s="28">
        <f t="shared" si="2"/>
        <v>0</v>
      </c>
      <c r="AR10" s="2">
        <f t="shared" si="10"/>
        <v>0</v>
      </c>
      <c r="AS10" s="29">
        <f t="shared" si="3"/>
        <v>0</v>
      </c>
      <c r="AT10" s="23"/>
    </row>
    <row r="11" spans="1:47" ht="18">
      <c r="A11" s="50"/>
      <c r="B11" s="50"/>
      <c r="C11" s="51"/>
      <c r="D11" s="52"/>
      <c r="E11" s="18" t="str">
        <f>IFERROR(VLOOKUP(D11,'Sheet Tool'!$B$3:$C$15,2,0)/$C$3,"")</f>
        <v/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">
        <f t="shared" si="4"/>
        <v>0</v>
      </c>
      <c r="AL11" s="2">
        <f t="shared" si="5"/>
        <v>0</v>
      </c>
      <c r="AM11" s="2">
        <f t="shared" si="6"/>
        <v>0</v>
      </c>
      <c r="AN11" s="2">
        <f t="shared" si="7"/>
        <v>0</v>
      </c>
      <c r="AO11" s="2">
        <f t="shared" si="8"/>
        <v>0</v>
      </c>
      <c r="AP11" s="2">
        <f t="shared" si="9"/>
        <v>0</v>
      </c>
      <c r="AQ11" s="28">
        <f t="shared" si="2"/>
        <v>0</v>
      </c>
      <c r="AR11" s="2">
        <f t="shared" si="10"/>
        <v>0</v>
      </c>
      <c r="AS11" s="29" t="str">
        <f t="shared" si="3"/>
        <v/>
      </c>
      <c r="AT11" s="23"/>
    </row>
    <row r="12" spans="1:47" ht="18">
      <c r="A12" s="50"/>
      <c r="B12" s="50"/>
      <c r="C12" s="51"/>
      <c r="D12" s="52"/>
      <c r="E12" s="18" t="str">
        <f>IFERROR(VLOOKUP(D12,'Sheet Tool'!$B$3:$C$15,2,0)/$C$3,"")</f>
        <v/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">
        <f t="shared" si="4"/>
        <v>0</v>
      </c>
      <c r="AL12" s="2">
        <f t="shared" si="5"/>
        <v>0</v>
      </c>
      <c r="AM12" s="2">
        <f t="shared" si="6"/>
        <v>0</v>
      </c>
      <c r="AN12" s="2">
        <f t="shared" si="7"/>
        <v>0</v>
      </c>
      <c r="AO12" s="2">
        <f t="shared" si="8"/>
        <v>0</v>
      </c>
      <c r="AP12" s="2">
        <f t="shared" si="9"/>
        <v>0</v>
      </c>
      <c r="AQ12" s="28">
        <f t="shared" si="2"/>
        <v>0</v>
      </c>
      <c r="AR12" s="2">
        <f t="shared" si="10"/>
        <v>0</v>
      </c>
      <c r="AS12" s="29" t="str">
        <f t="shared" si="3"/>
        <v/>
      </c>
      <c r="AT12" s="23"/>
    </row>
    <row r="13" spans="1:47" ht="18">
      <c r="A13" s="50"/>
      <c r="B13" s="50"/>
      <c r="C13" s="51"/>
      <c r="D13" s="52"/>
      <c r="E13" s="18" t="str">
        <f>IFERROR(VLOOKUP(D13,'Sheet Tool'!$B$3:$C$15,2,0)/$C$3,"")</f>
        <v/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2">
        <f t="shared" si="4"/>
        <v>0</v>
      </c>
      <c r="AL13" s="2">
        <f t="shared" si="5"/>
        <v>0</v>
      </c>
      <c r="AM13" s="2">
        <f t="shared" si="6"/>
        <v>0</v>
      </c>
      <c r="AN13" s="2">
        <f t="shared" si="7"/>
        <v>0</v>
      </c>
      <c r="AO13" s="2">
        <f t="shared" si="8"/>
        <v>0</v>
      </c>
      <c r="AP13" s="2">
        <f t="shared" si="9"/>
        <v>0</v>
      </c>
      <c r="AQ13" s="28">
        <f t="shared" si="2"/>
        <v>0</v>
      </c>
      <c r="AR13" s="2">
        <f t="shared" si="10"/>
        <v>0</v>
      </c>
      <c r="AS13" s="29" t="str">
        <f t="shared" si="3"/>
        <v/>
      </c>
      <c r="AT13" s="23"/>
    </row>
    <row r="14" spans="1:47" ht="18">
      <c r="A14" s="51"/>
      <c r="B14" s="51"/>
      <c r="C14" s="51"/>
      <c r="D14" s="53"/>
      <c r="E14" s="18" t="str">
        <f>IFERROR(VLOOKUP(D14,'Sheet Tool'!$B$3:$C$15,2,0)/$C$3,"")</f>
        <v/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2">
        <f>COUNTIF(F14:AJ14,"P*")</f>
        <v>0</v>
      </c>
      <c r="AL14" s="2">
        <f>COUNTIF(F14:AJ14,"A")</f>
        <v>0</v>
      </c>
      <c r="AM14" s="2">
        <f>COUNTIF(F14:AJ14,"WO")</f>
        <v>0</v>
      </c>
      <c r="AN14" s="2">
        <f>COUNTIF(F14:AJ14,"HD")</f>
        <v>0</v>
      </c>
      <c r="AO14" s="2">
        <f>AK14+AN14</f>
        <v>0</v>
      </c>
      <c r="AP14" s="2">
        <f>(COUNTIF(F14:AJ14,"P1")*1)+(COUNTIF(F14:AJ14,"P2")*2)+(COUNTIF(F14:AJ14,"P3")*3)+(COUNTIF(F14:AJ14,"P4")*4)+(COUNTIF(F14:AJ14,"P5")*5)+(COUNTIF(F14:AJ14,"P6")*6)+(COUNTIF(F14:AJ14,"P7")*7)+(COUNTIF(F14:AJ14,"P8")*8)</f>
        <v>0</v>
      </c>
      <c r="AQ14" s="28">
        <f t="shared" si="2"/>
        <v>0</v>
      </c>
      <c r="AR14" s="2">
        <f>AO14+AQ14</f>
        <v>0</v>
      </c>
      <c r="AS14" s="29" t="str">
        <f t="shared" si="3"/>
        <v/>
      </c>
      <c r="AT14" s="29"/>
    </row>
    <row r="15" spans="1:47" ht="18">
      <c r="A15" s="30"/>
      <c r="B15" s="30"/>
      <c r="C15" s="30"/>
      <c r="D15" s="30"/>
      <c r="E15" s="22"/>
      <c r="F15" s="1">
        <f>COUNTIF(F5:F14,"p8")+COUNTIF(F5:F14,"P")+COUNTIF(F5:F14,"P4")</f>
        <v>0</v>
      </c>
      <c r="G15" s="1">
        <f t="shared" ref="G15:AI15" si="11">COUNTIF(G5:G14,"p8")+COUNTIF(G5:G14,"P")+COUNTIF(G5:G14,"P4")</f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si="11"/>
        <v>0</v>
      </c>
      <c r="O15" s="1">
        <f t="shared" si="11"/>
        <v>0</v>
      </c>
      <c r="P15" s="1">
        <f t="shared" si="11"/>
        <v>0</v>
      </c>
      <c r="Q15" s="1">
        <f t="shared" si="11"/>
        <v>0</v>
      </c>
      <c r="R15" s="1">
        <f t="shared" si="11"/>
        <v>0</v>
      </c>
      <c r="S15" s="1">
        <f t="shared" si="11"/>
        <v>0</v>
      </c>
      <c r="T15" s="1">
        <f t="shared" si="11"/>
        <v>0</v>
      </c>
      <c r="U15" s="1">
        <f t="shared" si="11"/>
        <v>0</v>
      </c>
      <c r="V15" s="1">
        <f t="shared" si="11"/>
        <v>0</v>
      </c>
      <c r="W15" s="1">
        <f t="shared" si="11"/>
        <v>0</v>
      </c>
      <c r="X15" s="1">
        <f t="shared" si="11"/>
        <v>0</v>
      </c>
      <c r="Y15" s="1">
        <f t="shared" si="11"/>
        <v>0</v>
      </c>
      <c r="Z15" s="1">
        <f t="shared" si="11"/>
        <v>0</v>
      </c>
      <c r="AA15" s="1">
        <f t="shared" si="11"/>
        <v>0</v>
      </c>
      <c r="AB15" s="1">
        <f t="shared" si="11"/>
        <v>0</v>
      </c>
      <c r="AC15" s="1">
        <f t="shared" si="11"/>
        <v>0</v>
      </c>
      <c r="AD15" s="1">
        <f t="shared" si="11"/>
        <v>0</v>
      </c>
      <c r="AE15" s="1">
        <f t="shared" si="11"/>
        <v>0</v>
      </c>
      <c r="AF15" s="1">
        <f t="shared" si="11"/>
        <v>0</v>
      </c>
      <c r="AG15" s="1">
        <f t="shared" si="11"/>
        <v>0</v>
      </c>
      <c r="AH15" s="1">
        <f t="shared" si="11"/>
        <v>0</v>
      </c>
      <c r="AI15" s="1">
        <f t="shared" si="11"/>
        <v>0</v>
      </c>
      <c r="AJ15" s="1">
        <f>COUNTIF(AJ5:AJ14,"p8")+COUNTIF(AJ5:AJ14,"P")+COUNTIF(AJ5:AJ14,"P4")</f>
        <v>0</v>
      </c>
      <c r="AK15" s="2">
        <f>SUM(AK5:AK14)</f>
        <v>0</v>
      </c>
      <c r="AL15" s="2"/>
      <c r="AM15" s="2"/>
      <c r="AN15" s="2"/>
      <c r="AO15" s="2">
        <f>SUM(AO5:AO14)</f>
        <v>0</v>
      </c>
      <c r="AP15" s="2"/>
      <c r="AQ15" s="28">
        <f>SUM(AQ5:AQ14)</f>
        <v>0</v>
      </c>
      <c r="AR15" s="2">
        <f>SUM(AR5:AR14)</f>
        <v>0</v>
      </c>
      <c r="AS15" s="29">
        <f>SUM(AS5:AS14)</f>
        <v>0</v>
      </c>
      <c r="AT15" s="29"/>
    </row>
    <row r="16" spans="1:47" ht="17.25" thickBot="1">
      <c r="AT16" s="10"/>
    </row>
    <row r="17" spans="1:26" ht="18" thickBot="1">
      <c r="A17" s="20" t="s">
        <v>5</v>
      </c>
      <c r="B17" s="11" t="s">
        <v>14</v>
      </c>
      <c r="C17" s="15" t="s">
        <v>15</v>
      </c>
      <c r="D17" s="39" t="s">
        <v>16</v>
      </c>
      <c r="E17" s="42" t="s">
        <v>13</v>
      </c>
    </row>
    <row r="18" spans="1:26" ht="18" thickBot="1">
      <c r="A18" s="16" t="s">
        <v>40</v>
      </c>
      <c r="B18" s="32">
        <f>IFERROR(VLOOKUP(A18,$D$5:$AT12,41,0), "")</f>
        <v>0</v>
      </c>
      <c r="C18" s="13">
        <f>IFERROR(COUNTIF($D$5:$D14,A18), "")</f>
        <v>1</v>
      </c>
      <c r="D18" s="40">
        <f>IFERROR(VLOOKUP(A18,'Sheet Tool'!$B$3:$C$20,2,0)/$C$3, "")</f>
        <v>855.58333333333337</v>
      </c>
      <c r="E18" s="41">
        <f t="shared" ref="E18:E23" si="12">IFERROR(D18*B18, "")</f>
        <v>0</v>
      </c>
    </row>
    <row r="19" spans="1:26" ht="18" thickBot="1">
      <c r="A19" s="16" t="s">
        <v>20</v>
      </c>
      <c r="B19" s="32">
        <f>IFERROR(VLOOKUP(A19,$D$5:$AT13,41,0), "")</f>
        <v>0</v>
      </c>
      <c r="C19" s="13">
        <f>IFERROR(COUNTIF($D$5:$D15,A19), "")</f>
        <v>1</v>
      </c>
      <c r="D19" s="40">
        <f>IFERROR(VLOOKUP(A19,'Sheet Tool'!$B$3:$C$20,2,0)/$C$3, "")</f>
        <v>782.21458333333339</v>
      </c>
      <c r="E19" s="41">
        <f t="shared" si="12"/>
        <v>0</v>
      </c>
    </row>
    <row r="20" spans="1:26" ht="18" thickBot="1">
      <c r="A20" s="16" t="s">
        <v>9</v>
      </c>
      <c r="B20" s="32">
        <f>IFERROR(VLOOKUP(A20,$D$5:$AT14,41,0), "")</f>
        <v>0</v>
      </c>
      <c r="C20" s="13">
        <f>IFERROR(COUNTIF($D$5:$D16,A20), "")</f>
        <v>2</v>
      </c>
      <c r="D20" s="40">
        <f>IFERROR(VLOOKUP(A20,'Sheet Tool'!$B$3:$C$20,2,0)/$C$3, "")</f>
        <v>782.21458333333339</v>
      </c>
      <c r="E20" s="41">
        <f t="shared" si="12"/>
        <v>0</v>
      </c>
    </row>
    <row r="21" spans="1:26" ht="18" thickBot="1">
      <c r="A21" s="16" t="s">
        <v>17</v>
      </c>
      <c r="B21" s="32">
        <f>IFERROR(VLOOKUP(A21,$D$5:$AT15,41,0), "")</f>
        <v>0</v>
      </c>
      <c r="C21" s="13">
        <f>IFERROR(COUNTIF($D$5:$D17,A21), "")</f>
        <v>1</v>
      </c>
      <c r="D21" s="40">
        <f>IFERROR(VLOOKUP(A21,'Sheet Tool'!$B$3:$C$20,2,0)/$C$3, "")</f>
        <v>800.04666666666662</v>
      </c>
      <c r="E21" s="41">
        <f t="shared" si="12"/>
        <v>0</v>
      </c>
    </row>
    <row r="22" spans="1:26" ht="18" thickBot="1">
      <c r="A22" s="16" t="s">
        <v>41</v>
      </c>
      <c r="B22" s="32" t="str">
        <f>IFERROR(VLOOKUP(A22,$D$5:$AT16,41,0), "")</f>
        <v/>
      </c>
      <c r="C22" s="13">
        <f>IFERROR(COUNTIF($D$5:$D18,A22), "")</f>
        <v>0</v>
      </c>
      <c r="D22" s="40">
        <f>IFERROR(VLOOKUP(A22,'Sheet Tool'!$B$3:$C$20,2,0)/$C$3, "")</f>
        <v>876.75041666666664</v>
      </c>
      <c r="E22" s="41" t="str">
        <f t="shared" si="12"/>
        <v/>
      </c>
    </row>
    <row r="23" spans="1:26" ht="18" thickBot="1">
      <c r="A23" s="16" t="s">
        <v>42</v>
      </c>
      <c r="B23" s="32">
        <f>IFERROR(VLOOKUP(A23,$D$5:$AT17,41,0), "")</f>
        <v>0</v>
      </c>
      <c r="C23" s="13">
        <f>IFERROR(COUNTIF($D$5:$D19,A23), "")</f>
        <v>1</v>
      </c>
      <c r="D23" s="40">
        <f>IFERROR(VLOOKUP(A23,'Sheet Tool'!$B$3:$C$20,2,0)/$C$3, "")</f>
        <v>1006.35</v>
      </c>
      <c r="E23" s="41">
        <f t="shared" si="12"/>
        <v>0</v>
      </c>
    </row>
    <row r="24" spans="1:26" ht="18" thickBot="1">
      <c r="A24" s="21" t="s">
        <v>35</v>
      </c>
      <c r="B24" s="33">
        <f>SUM(B18:B21)</f>
        <v>0</v>
      </c>
      <c r="C24" s="14">
        <f>SUM(C18:C21)</f>
        <v>5</v>
      </c>
      <c r="D24" s="42"/>
      <c r="E24" s="43">
        <f>SUM(E18:E21)</f>
        <v>0</v>
      </c>
      <c r="Z24" s="27"/>
    </row>
    <row r="25" spans="1:26" ht="18" thickBot="1">
      <c r="A25" s="45" t="s">
        <v>36</v>
      </c>
      <c r="B25" s="47">
        <v>0.15</v>
      </c>
      <c r="E25" s="48">
        <f>E24*B25</f>
        <v>0</v>
      </c>
    </row>
    <row r="26" spans="1:26" ht="18" thickBot="1">
      <c r="A26" s="46" t="s">
        <v>37</v>
      </c>
      <c r="B26" s="31"/>
      <c r="E26" s="48">
        <f>E25+E24</f>
        <v>0</v>
      </c>
    </row>
    <row r="27" spans="1:26" ht="18" thickBot="1">
      <c r="A27" s="46" t="s">
        <v>38</v>
      </c>
      <c r="B27" s="34"/>
      <c r="E27" s="48">
        <f>E26*18%</f>
        <v>0</v>
      </c>
    </row>
    <row r="28" spans="1:26" ht="18" thickBot="1">
      <c r="A28" s="46" t="s">
        <v>39</v>
      </c>
      <c r="B28" s="34"/>
      <c r="E28" s="48">
        <f>E27+E26</f>
        <v>0</v>
      </c>
    </row>
    <row r="29" spans="1:26">
      <c r="E29" s="34"/>
      <c r="H29" s="17"/>
    </row>
  </sheetData>
  <sheetProtection algorithmName="SHA-512" hashValue="OVTDKR5+LkE8ouM07yGp3JtU0pEoNNtqDugLSNj0EMlcTQniS5E9RIU4pTbW4Mwl/7tH8gOBLb/+UpZRhQ075Q==" saltValue="8iFWBP8+tle+AirUz56FMw==" spinCount="100000" sheet="1" insertRows="0" autoFilter="0" pivotTables="0"/>
  <mergeCells count="5">
    <mergeCell ref="G2:T2"/>
    <mergeCell ref="U2:W2"/>
    <mergeCell ref="Y2:AJ2"/>
    <mergeCell ref="F1:L1"/>
    <mergeCell ref="A2:F2"/>
  </mergeCells>
  <conditionalFormatting sqref="F5:AJ15">
    <cfRule type="expression" dxfId="35" priority="58">
      <formula>F$3="Sat"</formula>
    </cfRule>
    <cfRule type="expression" dxfId="34" priority="59">
      <formula>F$3="Sun"</formula>
    </cfRule>
  </conditionalFormatting>
  <conditionalFormatting sqref="F15:AJ15">
    <cfRule type="expression" dxfId="33" priority="48">
      <formula>F$3="Sat"</formula>
    </cfRule>
    <cfRule type="expression" dxfId="32" priority="49">
      <formula>F$3="Sun"</formula>
    </cfRule>
    <cfRule type="expression" dxfId="31" priority="50">
      <formula>F$3="Sat"</formula>
    </cfRule>
    <cfRule type="expression" dxfId="30" priority="51">
      <formula>F$3="Sun"</formula>
    </cfRule>
    <cfRule type="expression" dxfId="29" priority="52">
      <formula>F$3="Sat"</formula>
    </cfRule>
    <cfRule type="expression" dxfId="28" priority="53">
      <formula>F$3="Sun"</formula>
    </cfRule>
  </conditionalFormatting>
  <conditionalFormatting sqref="G15:AJ15">
    <cfRule type="expression" dxfId="27" priority="40">
      <formula>G$3="Sat"</formula>
    </cfRule>
    <cfRule type="expression" dxfId="26" priority="41">
      <formula>G$3="Sun"</formula>
    </cfRule>
    <cfRule type="expression" dxfId="25" priority="42">
      <formula>G$3="Sat"</formula>
    </cfRule>
    <cfRule type="expression" dxfId="24" priority="43">
      <formula>G$3="Sun"</formula>
    </cfRule>
    <cfRule type="expression" dxfId="23" priority="44">
      <formula>G$3="Sat"</formula>
    </cfRule>
    <cfRule type="expression" dxfId="22" priority="45">
      <formula>G$3="Sun"</formula>
    </cfRule>
    <cfRule type="expression" dxfId="21" priority="46">
      <formula>G$3="Sat"</formula>
    </cfRule>
    <cfRule type="expression" dxfId="20" priority="47">
      <formula>G$3="Sun"</formula>
    </cfRule>
  </conditionalFormatting>
  <conditionalFormatting sqref="Z5:Z13 AG5:AG13 AA6:AA13">
    <cfRule type="expression" dxfId="19" priority="37">
      <formula>Z$3="Sat"</formula>
    </cfRule>
  </conditionalFormatting>
  <conditionalFormatting sqref="AI5:AI13 AI7:AJ13">
    <cfRule type="expression" dxfId="18" priority="60">
      <formula>AI$3="Sun"</formula>
    </cfRule>
  </conditionalFormatting>
  <dataValidations count="1">
    <dataValidation type="list" allowBlank="1" showInputMessage="1" showErrorMessage="1" sqref="F5:AJ14" xr:uid="{00000000-0002-0000-0000-000000000000}">
      <formula1>"P,A,WO,P1,P2,P3,P4,P5,P6,P7,P8,HD"</formula1>
    </dataValidation>
  </dataValidations>
  <pageMargins left="0.15748031496062992" right="0.15748031496062992" top="0.6692913385826772" bottom="0.31496062992125984" header="0.31496062992125984" footer="0.31496062992125984"/>
  <pageSetup paperSize="9" scale="47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1000000}">
          <x14:formula1>
            <xm:f>'Sheet Tool'!$G$3:$G$8</xm:f>
          </x14:formula1>
          <xm:sqref>A2:F2</xm:sqref>
        </x14:dataValidation>
        <x14:dataValidation type="list" allowBlank="1" showInputMessage="1" showErrorMessage="1" xr:uid="{00000000-0002-0000-0000-000003000000}">
          <x14:formula1>
            <xm:f>'Sheet Tool'!$E$3:$E$5</xm:f>
          </x14:formula1>
          <xm:sqref>F1</xm:sqref>
        </x14:dataValidation>
        <x14:dataValidation type="list" allowBlank="1" showInputMessage="1" showErrorMessage="1" xr:uid="{00000000-0002-0000-0000-000004000000}">
          <x14:formula1>
            <xm:f>'Sheet Tool'!$I$3:$I$5</xm:f>
          </x14:formula1>
          <xm:sqref>B5:B14</xm:sqref>
        </x14:dataValidation>
        <x14:dataValidation type="list" allowBlank="1" showInputMessage="1" showErrorMessage="1" xr:uid="{00000000-0002-0000-0000-000006000000}">
          <x14:formula1>
            <xm:f>'Sheet Tool'!$I$3:$I$7</xm:f>
          </x14:formula1>
          <xm:sqref>Y2</xm:sqref>
        </x14:dataValidation>
        <x14:dataValidation type="list" allowBlank="1" showInputMessage="1" showErrorMessage="1" xr:uid="{00000000-0002-0000-0000-000002000000}">
          <x14:formula1>
            <xm:f>'Sheet Tool'!$B$3:$B$16</xm:f>
          </x14:formula1>
          <xm:sqref>D5:D14</xm:sqref>
        </x14:dataValidation>
        <x14:dataValidation type="list" allowBlank="1" showInputMessage="1" showErrorMessage="1" xr:uid="{00000000-0002-0000-0000-000005000000}">
          <x14:formula1>
            <xm:f>'Sheet Tool'!$B$3:$B$8</xm:f>
          </x14:formula1>
          <xm:sqref>A18:A23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5"/>
  <sheetViews>
    <sheetView showGridLines="0" workbookViewId="0">
      <pane ySplit="2" topLeftCell="A3" activePane="bottomLeft" state="frozen"/>
      <selection pane="bottomLeft" activeCell="A3" sqref="A3"/>
    </sheetView>
  </sheetViews>
  <sheetFormatPr defaultColWidth="0" defaultRowHeight="15" zeroHeight="1"/>
  <cols>
    <col min="1" max="1" width="2.42578125" style="69" customWidth="1"/>
    <col min="2" max="2" width="11.5703125" style="69" bestFit="1" customWidth="1"/>
    <col min="3" max="3" width="14.42578125" style="69" bestFit="1" customWidth="1"/>
    <col min="4" max="4" width="2.42578125" style="69" customWidth="1"/>
    <col min="5" max="5" width="25" style="69" bestFit="1" customWidth="1"/>
    <col min="6" max="6" width="3.28515625" style="69" customWidth="1"/>
    <col min="7" max="7" width="24.5703125" style="69" bestFit="1" customWidth="1"/>
    <col min="8" max="8" width="4.28515625" style="69" customWidth="1"/>
    <col min="9" max="9" width="25.28515625" style="69" bestFit="1" customWidth="1"/>
    <col min="10" max="10" width="2.7109375" style="69" customWidth="1"/>
    <col min="11" max="12" width="9.140625" style="69" customWidth="1"/>
    <col min="13" max="16384" width="9.140625" hidden="1"/>
  </cols>
  <sheetData>
    <row r="1" spans="2:9"/>
    <row r="2" spans="2:9">
      <c r="B2" s="70" t="s">
        <v>5</v>
      </c>
      <c r="C2" s="70" t="s">
        <v>22</v>
      </c>
      <c r="E2" s="70" t="s">
        <v>28</v>
      </c>
      <c r="G2" s="70" t="s">
        <v>24</v>
      </c>
      <c r="I2" s="70" t="s">
        <v>23</v>
      </c>
    </row>
    <row r="3" spans="2:9">
      <c r="B3" s="71" t="s">
        <v>40</v>
      </c>
      <c r="C3" s="72">
        <v>20534</v>
      </c>
      <c r="E3" s="71" t="s">
        <v>29</v>
      </c>
      <c r="G3" s="71" t="s">
        <v>25</v>
      </c>
      <c r="I3" s="71" t="s">
        <v>33</v>
      </c>
    </row>
    <row r="4" spans="2:9">
      <c r="B4" s="71" t="s">
        <v>20</v>
      </c>
      <c r="C4" s="72">
        <v>18773.150000000001</v>
      </c>
      <c r="E4" s="71" t="s">
        <v>30</v>
      </c>
      <c r="G4" s="71" t="s">
        <v>26</v>
      </c>
      <c r="I4" s="71" t="s">
        <v>34</v>
      </c>
    </row>
    <row r="5" spans="2:9">
      <c r="B5" s="71" t="s">
        <v>9</v>
      </c>
      <c r="C5" s="72">
        <v>18773.150000000001</v>
      </c>
      <c r="E5" s="71" t="s">
        <v>48</v>
      </c>
      <c r="G5" s="71" t="s">
        <v>27</v>
      </c>
      <c r="I5" s="71"/>
    </row>
    <row r="6" spans="2:9">
      <c r="B6" s="71" t="s">
        <v>17</v>
      </c>
      <c r="C6" s="71">
        <v>19201.12</v>
      </c>
    </row>
    <row r="7" spans="2:9">
      <c r="B7" s="71" t="s">
        <v>41</v>
      </c>
      <c r="C7" s="71">
        <v>21042.01</v>
      </c>
    </row>
    <row r="8" spans="2:9">
      <c r="B8" s="71" t="s">
        <v>42</v>
      </c>
      <c r="C8" s="71">
        <v>24152.400000000001</v>
      </c>
    </row>
    <row r="9" spans="2:9"/>
    <row r="10" spans="2:9"/>
    <row r="11" spans="2:9"/>
    <row r="12" spans="2:9"/>
    <row r="13" spans="2:9"/>
    <row r="14" spans="2:9"/>
    <row r="15" spans="2:9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V23"/>
  <sheetViews>
    <sheetView showGridLines="0" zoomScale="75" zoomScaleNormal="75" workbookViewId="0">
      <pane xSplit="5" ySplit="4" topLeftCell="F11" activePane="bottomRight" state="frozen"/>
      <selection pane="topRight" activeCell="F1" sqref="F1"/>
      <selection pane="bottomLeft" activeCell="A5" sqref="A5"/>
      <selection pane="bottomRight" activeCell="E20" sqref="E20"/>
    </sheetView>
  </sheetViews>
  <sheetFormatPr defaultColWidth="0" defaultRowHeight="16.5"/>
  <cols>
    <col min="1" max="1" width="21.140625" style="3" bestFit="1" customWidth="1"/>
    <col min="2" max="2" width="29.7109375" style="3" bestFit="1" customWidth="1"/>
    <col min="3" max="3" width="19.42578125" style="3" bestFit="1" customWidth="1"/>
    <col min="4" max="4" width="16.85546875" style="3" bestFit="1" customWidth="1"/>
    <col min="5" max="5" width="13.28515625" style="31" bestFit="1" customWidth="1"/>
    <col min="6" max="7" width="4.140625" style="3" bestFit="1" customWidth="1"/>
    <col min="8" max="9" width="4" style="3" customWidth="1"/>
    <col min="10" max="10" width="4.85546875" style="3" bestFit="1" customWidth="1"/>
    <col min="11" max="36" width="4" style="3" customWidth="1"/>
    <col min="37" max="37" width="8.42578125" style="3" bestFit="1" customWidth="1"/>
    <col min="38" max="38" width="7.85546875" style="3" customWidth="1"/>
    <col min="39" max="39" width="8.28515625" style="3" customWidth="1"/>
    <col min="40" max="40" width="5" style="3" bestFit="1" customWidth="1"/>
    <col min="41" max="41" width="14.28515625" style="3" bestFit="1" customWidth="1"/>
    <col min="42" max="42" width="10.85546875" style="3" bestFit="1" customWidth="1"/>
    <col min="43" max="43" width="9.28515625" style="3" customWidth="1"/>
    <col min="44" max="44" width="15.7109375" style="3" bestFit="1" customWidth="1"/>
    <col min="45" max="45" width="15" style="3" customWidth="1"/>
    <col min="46" max="46" width="13.140625" style="3" bestFit="1" customWidth="1"/>
    <col min="47" max="47" width="8.42578125" style="3" customWidth="1"/>
    <col min="48" max="48" width="4.85546875" style="3" customWidth="1"/>
    <col min="49" max="16384" width="9.140625" style="3" hidden="1"/>
  </cols>
  <sheetData>
    <row r="1" spans="1:47" ht="17.25" thickBot="1">
      <c r="A1" s="49" t="s">
        <v>31</v>
      </c>
      <c r="F1" s="67" t="s">
        <v>30</v>
      </c>
      <c r="G1" s="67"/>
      <c r="H1" s="67"/>
      <c r="I1" s="67"/>
      <c r="J1" s="67"/>
      <c r="K1" s="67"/>
      <c r="L1" s="67"/>
      <c r="Z1" s="49" t="s">
        <v>32</v>
      </c>
      <c r="AA1" s="49"/>
      <c r="AB1" s="49"/>
      <c r="AM1" s="49"/>
    </row>
    <row r="2" spans="1:47" ht="36.75" customHeight="1" thickBot="1">
      <c r="A2" s="65" t="s">
        <v>26</v>
      </c>
      <c r="B2" s="66"/>
      <c r="C2" s="66"/>
      <c r="D2" s="66"/>
      <c r="E2" s="66"/>
      <c r="F2" s="66"/>
      <c r="G2" s="60" t="str">
        <f>F1 &amp; " for the month"</f>
        <v>HouseKeeping Attendance for the month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8">
        <v>46054</v>
      </c>
      <c r="V2" s="68"/>
      <c r="W2" s="68"/>
      <c r="X2" s="55"/>
      <c r="Y2" s="56" t="s">
        <v>33</v>
      </c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7"/>
    </row>
    <row r="3" spans="1:47" ht="30">
      <c r="A3" s="35" t="s">
        <v>12</v>
      </c>
      <c r="B3" s="36"/>
      <c r="C3" s="58">
        <v>24</v>
      </c>
      <c r="D3" s="36"/>
      <c r="E3" s="37"/>
      <c r="F3" s="44" t="str">
        <f t="shared" ref="F3:AJ3" si="0">IFERROR(TEXT(F4,"ddd"), "")</f>
        <v>Sun</v>
      </c>
      <c r="G3" s="44" t="str">
        <f t="shared" si="0"/>
        <v>Mon</v>
      </c>
      <c r="H3" s="44" t="str">
        <f t="shared" si="0"/>
        <v>Tue</v>
      </c>
      <c r="I3" s="44" t="str">
        <f t="shared" si="0"/>
        <v>Wed</v>
      </c>
      <c r="J3" s="44" t="str">
        <f t="shared" si="0"/>
        <v>Thu</v>
      </c>
      <c r="K3" s="44" t="str">
        <f t="shared" si="0"/>
        <v>Fri</v>
      </c>
      <c r="L3" s="44" t="str">
        <f t="shared" si="0"/>
        <v>Sat</v>
      </c>
      <c r="M3" s="44" t="str">
        <f t="shared" si="0"/>
        <v>Sun</v>
      </c>
      <c r="N3" s="44" t="str">
        <f t="shared" si="0"/>
        <v>Mon</v>
      </c>
      <c r="O3" s="44" t="str">
        <f t="shared" si="0"/>
        <v>Tue</v>
      </c>
      <c r="P3" s="44" t="str">
        <f t="shared" si="0"/>
        <v>Wed</v>
      </c>
      <c r="Q3" s="44" t="str">
        <f t="shared" si="0"/>
        <v>Thu</v>
      </c>
      <c r="R3" s="44" t="str">
        <f t="shared" si="0"/>
        <v>Fri</v>
      </c>
      <c r="S3" s="44" t="str">
        <f t="shared" si="0"/>
        <v>Sat</v>
      </c>
      <c r="T3" s="44" t="str">
        <f t="shared" si="0"/>
        <v>Sun</v>
      </c>
      <c r="U3" s="44" t="str">
        <f t="shared" si="0"/>
        <v>Mon</v>
      </c>
      <c r="V3" s="44" t="str">
        <f t="shared" si="0"/>
        <v>Tue</v>
      </c>
      <c r="W3" s="44" t="str">
        <f t="shared" si="0"/>
        <v>Wed</v>
      </c>
      <c r="X3" s="44" t="str">
        <f t="shared" si="0"/>
        <v>Thu</v>
      </c>
      <c r="Y3" s="44" t="str">
        <f t="shared" si="0"/>
        <v>Fri</v>
      </c>
      <c r="Z3" s="44" t="str">
        <f t="shared" si="0"/>
        <v>Sat</v>
      </c>
      <c r="AA3" s="44" t="str">
        <f t="shared" si="0"/>
        <v>Sun</v>
      </c>
      <c r="AB3" s="44" t="str">
        <f t="shared" si="0"/>
        <v>Mon</v>
      </c>
      <c r="AC3" s="44" t="str">
        <f t="shared" si="0"/>
        <v>Tue</v>
      </c>
      <c r="AD3" s="44" t="str">
        <f t="shared" si="0"/>
        <v>Wed</v>
      </c>
      <c r="AE3" s="44" t="str">
        <f t="shared" si="0"/>
        <v>Thu</v>
      </c>
      <c r="AF3" s="44" t="str">
        <f t="shared" si="0"/>
        <v>Fri</v>
      </c>
      <c r="AG3" s="44" t="str">
        <f t="shared" si="0"/>
        <v>Sat</v>
      </c>
      <c r="AH3" s="44" t="str">
        <f t="shared" si="0"/>
        <v/>
      </c>
      <c r="AI3" s="44" t="str">
        <f t="shared" si="0"/>
        <v/>
      </c>
      <c r="AJ3" s="44" t="str">
        <f t="shared" si="0"/>
        <v/>
      </c>
      <c r="AK3" s="24"/>
      <c r="AL3" s="25"/>
      <c r="AM3" s="25"/>
      <c r="AN3" s="25"/>
      <c r="AO3" s="25"/>
      <c r="AP3" s="25"/>
      <c r="AQ3" s="59">
        <v>8</v>
      </c>
      <c r="AR3" s="25"/>
      <c r="AS3" s="25"/>
      <c r="AT3" s="26"/>
    </row>
    <row r="4" spans="1:47" ht="44.25" customHeight="1">
      <c r="A4" s="7" t="s">
        <v>21</v>
      </c>
      <c r="B4" s="7" t="s">
        <v>23</v>
      </c>
      <c r="C4" s="8" t="s">
        <v>4</v>
      </c>
      <c r="D4" s="7" t="s">
        <v>5</v>
      </c>
      <c r="E4" s="8" t="s">
        <v>6</v>
      </c>
      <c r="F4" s="6">
        <f>U2</f>
        <v>46054</v>
      </c>
      <c r="G4" s="54">
        <f>IFERROR(IF(MONTH(F4+1)=MONTH(F4), F4+1, ""), "")</f>
        <v>46055</v>
      </c>
      <c r="H4" s="54">
        <f t="shared" ref="H4:AJ4" si="1">IFERROR(IF(MONTH(G4+1)=MONTH(G4), G4+1, ""), "")</f>
        <v>46056</v>
      </c>
      <c r="I4" s="54">
        <f t="shared" si="1"/>
        <v>46057</v>
      </c>
      <c r="J4" s="54">
        <f t="shared" si="1"/>
        <v>46058</v>
      </c>
      <c r="K4" s="54">
        <f t="shared" si="1"/>
        <v>46059</v>
      </c>
      <c r="L4" s="54">
        <f t="shared" si="1"/>
        <v>46060</v>
      </c>
      <c r="M4" s="54">
        <f t="shared" si="1"/>
        <v>46061</v>
      </c>
      <c r="N4" s="54">
        <f t="shared" si="1"/>
        <v>46062</v>
      </c>
      <c r="O4" s="54">
        <f t="shared" si="1"/>
        <v>46063</v>
      </c>
      <c r="P4" s="54">
        <f t="shared" si="1"/>
        <v>46064</v>
      </c>
      <c r="Q4" s="54">
        <f t="shared" si="1"/>
        <v>46065</v>
      </c>
      <c r="R4" s="54">
        <f t="shared" si="1"/>
        <v>46066</v>
      </c>
      <c r="S4" s="54">
        <f t="shared" si="1"/>
        <v>46067</v>
      </c>
      <c r="T4" s="54">
        <f t="shared" si="1"/>
        <v>46068</v>
      </c>
      <c r="U4" s="54">
        <f t="shared" si="1"/>
        <v>46069</v>
      </c>
      <c r="V4" s="54">
        <f t="shared" si="1"/>
        <v>46070</v>
      </c>
      <c r="W4" s="54">
        <f t="shared" si="1"/>
        <v>46071</v>
      </c>
      <c r="X4" s="54">
        <f t="shared" si="1"/>
        <v>46072</v>
      </c>
      <c r="Y4" s="54">
        <f t="shared" si="1"/>
        <v>46073</v>
      </c>
      <c r="Z4" s="54">
        <f t="shared" si="1"/>
        <v>46074</v>
      </c>
      <c r="AA4" s="54">
        <f t="shared" si="1"/>
        <v>46075</v>
      </c>
      <c r="AB4" s="54">
        <f t="shared" si="1"/>
        <v>46076</v>
      </c>
      <c r="AC4" s="54">
        <f t="shared" si="1"/>
        <v>46077</v>
      </c>
      <c r="AD4" s="54">
        <f t="shared" si="1"/>
        <v>46078</v>
      </c>
      <c r="AE4" s="54">
        <f t="shared" si="1"/>
        <v>46079</v>
      </c>
      <c r="AF4" s="54">
        <f t="shared" si="1"/>
        <v>46080</v>
      </c>
      <c r="AG4" s="54">
        <f t="shared" si="1"/>
        <v>46081</v>
      </c>
      <c r="AH4" s="54" t="str">
        <f t="shared" si="1"/>
        <v/>
      </c>
      <c r="AI4" s="54" t="str">
        <f t="shared" si="1"/>
        <v/>
      </c>
      <c r="AJ4" s="54" t="str">
        <f t="shared" si="1"/>
        <v/>
      </c>
      <c r="AK4" s="4" t="s">
        <v>7</v>
      </c>
      <c r="AL4" s="4" t="s">
        <v>0</v>
      </c>
      <c r="AM4" s="4" t="s">
        <v>8</v>
      </c>
      <c r="AN4" s="4" t="s">
        <v>18</v>
      </c>
      <c r="AO4" s="5" t="s">
        <v>19</v>
      </c>
      <c r="AP4" s="5" t="s">
        <v>10</v>
      </c>
      <c r="AQ4" s="5" t="s">
        <v>11</v>
      </c>
      <c r="AR4" s="5" t="s">
        <v>1</v>
      </c>
      <c r="AS4" s="5" t="s">
        <v>2</v>
      </c>
      <c r="AT4" s="4" t="s">
        <v>3</v>
      </c>
    </row>
    <row r="5" spans="1:47" ht="21" customHeight="1">
      <c r="A5" s="9">
        <v>1</v>
      </c>
      <c r="B5" s="9" t="s">
        <v>33</v>
      </c>
      <c r="C5" s="12"/>
      <c r="D5" s="38" t="s">
        <v>20</v>
      </c>
      <c r="E5" s="18">
        <f>VLOOKUP(D5,'Sheet Tool'!$B$3:$C$15,2,0)/$C$3</f>
        <v>782.21458333333339</v>
      </c>
      <c r="F5" s="19" t="s">
        <v>8</v>
      </c>
      <c r="G5" s="19" t="s">
        <v>44</v>
      </c>
      <c r="H5" s="19" t="s">
        <v>44</v>
      </c>
      <c r="I5" s="19" t="s">
        <v>44</v>
      </c>
      <c r="J5" s="19" t="s">
        <v>44</v>
      </c>
      <c r="K5" s="19" t="s">
        <v>44</v>
      </c>
      <c r="L5" s="19" t="s">
        <v>44</v>
      </c>
      <c r="M5" s="19" t="s">
        <v>8</v>
      </c>
      <c r="N5" s="19" t="s">
        <v>44</v>
      </c>
      <c r="O5" s="19" t="s">
        <v>44</v>
      </c>
      <c r="P5" s="19" t="s">
        <v>44</v>
      </c>
      <c r="Q5" s="19" t="s">
        <v>45</v>
      </c>
      <c r="R5" s="19" t="s">
        <v>44</v>
      </c>
      <c r="S5" s="19" t="s">
        <v>44</v>
      </c>
      <c r="T5" s="19" t="s">
        <v>8</v>
      </c>
      <c r="U5" s="19" t="s">
        <v>44</v>
      </c>
      <c r="V5" s="19" t="s">
        <v>44</v>
      </c>
      <c r="W5" s="19" t="s">
        <v>44</v>
      </c>
      <c r="X5" s="19" t="s">
        <v>44</v>
      </c>
      <c r="Y5" s="19" t="s">
        <v>44</v>
      </c>
      <c r="Z5" s="19" t="s">
        <v>44</v>
      </c>
      <c r="AA5" s="19" t="s">
        <v>8</v>
      </c>
      <c r="AB5" s="19" t="s">
        <v>44</v>
      </c>
      <c r="AC5" s="19" t="s">
        <v>44</v>
      </c>
      <c r="AD5" s="19" t="s">
        <v>49</v>
      </c>
      <c r="AE5" s="19" t="s">
        <v>44</v>
      </c>
      <c r="AF5" s="19" t="s">
        <v>44</v>
      </c>
      <c r="AG5" s="19" t="s">
        <v>44</v>
      </c>
      <c r="AH5" s="19"/>
      <c r="AI5" s="19"/>
      <c r="AJ5" s="19"/>
      <c r="AK5" s="2">
        <f>COUNTIF(F5:AJ5,"P*")</f>
        <v>23</v>
      </c>
      <c r="AL5" s="2">
        <f>COUNTIF(F5:AJ5,"A")</f>
        <v>1</v>
      </c>
      <c r="AM5" s="2">
        <f>COUNTIF(F5:AJ5,"WO")</f>
        <v>4</v>
      </c>
      <c r="AN5" s="2">
        <f>COUNTIF(F5:AJ5,"HD")</f>
        <v>0</v>
      </c>
      <c r="AO5" s="2">
        <f>AK5+AN5</f>
        <v>23</v>
      </c>
      <c r="AP5" s="2">
        <f>(COUNTIF(F5:AJ5,"P1")*1)+(COUNTIF(F5:AJ5,"P2")*2)+(COUNTIF(F5:AJ5,"P3")*3)+(COUNTIF(F5:AJ5,"P4")*4)+(COUNTIF(F5:AJ5,"P5")*5)+(COUNTIF(F5:AJ5,"P6")*6)+(COUNTIF(F5:AJ5,"P7")*7)+(COUNTIF(F5:AJ5,"P8")*8)</f>
        <v>3</v>
      </c>
      <c r="AQ5" s="28">
        <f>AP5/$AQ$3</f>
        <v>0.375</v>
      </c>
      <c r="AR5" s="2">
        <f>AO5+AQ5</f>
        <v>23.375</v>
      </c>
      <c r="AS5" s="29">
        <f>AR5*E5</f>
        <v>18284.265885416669</v>
      </c>
      <c r="AT5" s="2"/>
    </row>
    <row r="6" spans="1:47" ht="21" customHeight="1">
      <c r="A6" s="9">
        <v>2</v>
      </c>
      <c r="B6" s="9" t="s">
        <v>33</v>
      </c>
      <c r="C6" s="12"/>
      <c r="D6" s="38" t="s">
        <v>9</v>
      </c>
      <c r="E6" s="18">
        <f>VLOOKUP(D6,'Sheet Tool'!$B$3:$C$15,2,0)/$C$3</f>
        <v>782.21458333333339</v>
      </c>
      <c r="F6" s="19" t="s">
        <v>8</v>
      </c>
      <c r="G6" s="19" t="s">
        <v>44</v>
      </c>
      <c r="H6" s="19" t="s">
        <v>44</v>
      </c>
      <c r="I6" s="19" t="s">
        <v>44</v>
      </c>
      <c r="J6" s="19" t="s">
        <v>44</v>
      </c>
      <c r="K6" s="19" t="s">
        <v>44</v>
      </c>
      <c r="L6" s="19" t="s">
        <v>44</v>
      </c>
      <c r="M6" s="19" t="s">
        <v>8</v>
      </c>
      <c r="N6" s="19" t="s">
        <v>44</v>
      </c>
      <c r="O6" s="19" t="s">
        <v>44</v>
      </c>
      <c r="P6" s="19" t="s">
        <v>44</v>
      </c>
      <c r="Q6" s="19" t="s">
        <v>44</v>
      </c>
      <c r="R6" s="19" t="s">
        <v>44</v>
      </c>
      <c r="S6" s="19" t="s">
        <v>44</v>
      </c>
      <c r="T6" s="19" t="s">
        <v>8</v>
      </c>
      <c r="U6" s="19" t="s">
        <v>44</v>
      </c>
      <c r="V6" s="19" t="s">
        <v>44</v>
      </c>
      <c r="W6" s="19" t="s">
        <v>49</v>
      </c>
      <c r="X6" s="19" t="s">
        <v>44</v>
      </c>
      <c r="Y6" s="19" t="s">
        <v>44</v>
      </c>
      <c r="Z6" s="19" t="s">
        <v>44</v>
      </c>
      <c r="AA6" s="19" t="s">
        <v>8</v>
      </c>
      <c r="AB6" s="19" t="s">
        <v>44</v>
      </c>
      <c r="AC6" s="19" t="s">
        <v>44</v>
      </c>
      <c r="AD6" s="19" t="s">
        <v>44</v>
      </c>
      <c r="AE6" s="19" t="s">
        <v>44</v>
      </c>
      <c r="AF6" s="19" t="s">
        <v>44</v>
      </c>
      <c r="AG6" s="19" t="s">
        <v>44</v>
      </c>
      <c r="AH6" s="19"/>
      <c r="AI6" s="19"/>
      <c r="AJ6" s="19"/>
      <c r="AK6" s="2">
        <f>COUNTIF(F6:AJ6,"P*")</f>
        <v>23</v>
      </c>
      <c r="AL6" s="2">
        <f>COUNTIF(F6:AJ6,"A")</f>
        <v>1</v>
      </c>
      <c r="AM6" s="2">
        <f>COUNTIF(F6:AJ6,"WO")</f>
        <v>4</v>
      </c>
      <c r="AN6" s="2">
        <f>COUNTIF(F6:AJ6,"HD")</f>
        <v>0</v>
      </c>
      <c r="AO6" s="2">
        <f>AK6+AN6</f>
        <v>23</v>
      </c>
      <c r="AP6" s="2">
        <f>(COUNTIF(F6:AJ6,"P1")*1)+(COUNTIF(F6:AJ6,"P2")*2)+(COUNTIF(F6:AJ6,"P3")*3)+(COUNTIF(F6:AJ6,"P4")*4)+(COUNTIF(F6:AJ6,"P5")*5)+(COUNTIF(F6:AJ6,"P6")*6)+(COUNTIF(F6:AJ6,"P7")*7)+(COUNTIF(F6:AJ6,"P8")*8)</f>
        <v>0</v>
      </c>
      <c r="AQ6" s="28">
        <f t="shared" ref="AQ6:AQ10" si="2">AP6/$AQ$3</f>
        <v>0</v>
      </c>
      <c r="AR6" s="2">
        <f>AO6+AQ6</f>
        <v>23</v>
      </c>
      <c r="AS6" s="29">
        <f>AR6*E6</f>
        <v>17990.935416666667</v>
      </c>
      <c r="AT6" s="23"/>
    </row>
    <row r="7" spans="1:47" ht="21" customHeight="1">
      <c r="A7" s="9">
        <v>3</v>
      </c>
      <c r="B7" s="9" t="s">
        <v>33</v>
      </c>
      <c r="C7" s="12"/>
      <c r="D7" s="38" t="s">
        <v>9</v>
      </c>
      <c r="E7" s="18">
        <f>VLOOKUP(D7,'Sheet Tool'!$B$3:$C$15,2,0)/$C$3</f>
        <v>782.21458333333339</v>
      </c>
      <c r="F7" s="19" t="s">
        <v>8</v>
      </c>
      <c r="G7" s="19" t="s">
        <v>44</v>
      </c>
      <c r="H7" s="19" t="s">
        <v>44</v>
      </c>
      <c r="I7" s="19" t="s">
        <v>44</v>
      </c>
      <c r="J7" s="19" t="s">
        <v>43</v>
      </c>
      <c r="K7" s="19" t="s">
        <v>44</v>
      </c>
      <c r="L7" s="19" t="s">
        <v>44</v>
      </c>
      <c r="M7" s="19" t="s">
        <v>8</v>
      </c>
      <c r="N7" s="19" t="s">
        <v>44</v>
      </c>
      <c r="O7" s="19" t="s">
        <v>44</v>
      </c>
      <c r="P7" s="19" t="s">
        <v>44</v>
      </c>
      <c r="Q7" s="19" t="s">
        <v>47</v>
      </c>
      <c r="R7" s="19" t="s">
        <v>49</v>
      </c>
      <c r="S7" s="19" t="s">
        <v>44</v>
      </c>
      <c r="T7" s="19" t="s">
        <v>8</v>
      </c>
      <c r="U7" s="19" t="s">
        <v>44</v>
      </c>
      <c r="V7" s="19" t="s">
        <v>44</v>
      </c>
      <c r="W7" s="19" t="s">
        <v>44</v>
      </c>
      <c r="X7" s="19" t="s">
        <v>44</v>
      </c>
      <c r="Y7" s="19" t="s">
        <v>44</v>
      </c>
      <c r="Z7" s="19" t="s">
        <v>44</v>
      </c>
      <c r="AA7" s="19" t="s">
        <v>8</v>
      </c>
      <c r="AB7" s="19" t="s">
        <v>44</v>
      </c>
      <c r="AC7" s="19" t="s">
        <v>44</v>
      </c>
      <c r="AD7" s="19" t="s">
        <v>45</v>
      </c>
      <c r="AE7" s="19" t="s">
        <v>44</v>
      </c>
      <c r="AF7" s="19" t="s">
        <v>44</v>
      </c>
      <c r="AG7" s="19" t="s">
        <v>44</v>
      </c>
      <c r="AH7" s="19"/>
      <c r="AI7" s="19"/>
      <c r="AJ7" s="19"/>
      <c r="AK7" s="2">
        <f>COUNTIF(F7:AJ7,"P*")</f>
        <v>23</v>
      </c>
      <c r="AL7" s="2">
        <f>COUNTIF(F7:AJ7,"A")</f>
        <v>1</v>
      </c>
      <c r="AM7" s="2">
        <f>COUNTIF(F7:AJ7,"WO")</f>
        <v>4</v>
      </c>
      <c r="AN7" s="2">
        <f>COUNTIF(F7:AJ7,"HD")</f>
        <v>0</v>
      </c>
      <c r="AO7" s="2">
        <f>AK7+AN7</f>
        <v>23</v>
      </c>
      <c r="AP7" s="2">
        <f>(COUNTIF(F7:AJ7,"P1")*1)+(COUNTIF(F7:AJ7,"P2")*2)+(COUNTIF(F7:AJ7,"P3")*3)+(COUNTIF(F7:AJ7,"P4")*4)+(COUNTIF(F7:AJ7,"P5")*5)+(COUNTIF(F7:AJ7,"P6")*6)+(COUNTIF(F7:AJ7,"P7")*7)+(COUNTIF(F7:AJ7,"P8")*8)</f>
        <v>18</v>
      </c>
      <c r="AQ7" s="28">
        <f t="shared" si="2"/>
        <v>2.25</v>
      </c>
      <c r="AR7" s="2">
        <f>AO7+AQ7</f>
        <v>25.25</v>
      </c>
      <c r="AS7" s="29">
        <f>AR7*E7</f>
        <v>19750.918229166669</v>
      </c>
      <c r="AT7" s="23"/>
    </row>
    <row r="8" spans="1:47" ht="21" customHeight="1">
      <c r="A8" s="9">
        <v>4</v>
      </c>
      <c r="B8" s="9" t="s">
        <v>33</v>
      </c>
      <c r="C8" s="12"/>
      <c r="D8" s="38" t="s">
        <v>17</v>
      </c>
      <c r="E8" s="18">
        <f>VLOOKUP(D8,'Sheet Tool'!$B$3:$C$15,2,0)/$C$3</f>
        <v>800.04666666666662</v>
      </c>
      <c r="F8" s="19" t="s">
        <v>8</v>
      </c>
      <c r="G8" s="19" t="s">
        <v>44</v>
      </c>
      <c r="H8" s="19" t="s">
        <v>44</v>
      </c>
      <c r="I8" s="19" t="s">
        <v>44</v>
      </c>
      <c r="J8" s="19" t="s">
        <v>44</v>
      </c>
      <c r="K8" s="19" t="s">
        <v>44</v>
      </c>
      <c r="L8" s="19" t="s">
        <v>44</v>
      </c>
      <c r="M8" s="19" t="s">
        <v>8</v>
      </c>
      <c r="N8" s="19" t="s">
        <v>44</v>
      </c>
      <c r="O8" s="19" t="s">
        <v>44</v>
      </c>
      <c r="P8" s="19" t="s">
        <v>46</v>
      </c>
      <c r="Q8" s="19" t="s">
        <v>44</v>
      </c>
      <c r="R8" s="19" t="s">
        <v>44</v>
      </c>
      <c r="S8" s="19" t="s">
        <v>44</v>
      </c>
      <c r="T8" s="19" t="s">
        <v>8</v>
      </c>
      <c r="U8" s="19" t="s">
        <v>44</v>
      </c>
      <c r="V8" s="19" t="s">
        <v>44</v>
      </c>
      <c r="W8" s="19" t="s">
        <v>44</v>
      </c>
      <c r="X8" s="19" t="s">
        <v>44</v>
      </c>
      <c r="Y8" s="19" t="s">
        <v>44</v>
      </c>
      <c r="Z8" s="19" t="s">
        <v>44</v>
      </c>
      <c r="AA8" s="19" t="s">
        <v>8</v>
      </c>
      <c r="AB8" s="19" t="s">
        <v>44</v>
      </c>
      <c r="AC8" s="19" t="s">
        <v>44</v>
      </c>
      <c r="AD8" s="19" t="s">
        <v>44</v>
      </c>
      <c r="AE8" s="19" t="s">
        <v>44</v>
      </c>
      <c r="AF8" s="19" t="s">
        <v>44</v>
      </c>
      <c r="AG8" s="19" t="s">
        <v>44</v>
      </c>
      <c r="AH8" s="19"/>
      <c r="AI8" s="19"/>
      <c r="AJ8" s="19"/>
      <c r="AK8" s="2">
        <f t="shared" ref="AK8:AK10" si="3">COUNTIF(F8:AJ8,"P*")</f>
        <v>24</v>
      </c>
      <c r="AL8" s="2">
        <f t="shared" ref="AL8:AL10" si="4">COUNTIF(F8:AJ8,"A")</f>
        <v>0</v>
      </c>
      <c r="AM8" s="2">
        <f t="shared" ref="AM8:AM10" si="5">COUNTIF(F8:AJ8,"WO")</f>
        <v>4</v>
      </c>
      <c r="AN8" s="2">
        <f t="shared" ref="AN8:AN10" si="6">COUNTIF(F8:AJ8,"HD")</f>
        <v>0</v>
      </c>
      <c r="AO8" s="2">
        <f t="shared" ref="AO8:AO10" si="7">AK8+AN8</f>
        <v>24</v>
      </c>
      <c r="AP8" s="2">
        <f t="shared" ref="AP8:AP10" si="8">(COUNTIF(F8:AJ8,"P1")*1)+(COUNTIF(F8:AJ8,"P2")*2)+(COUNTIF(F8:AJ8,"P3")*3)+(COUNTIF(F8:AJ8,"P4")*4)+(COUNTIF(F8:AJ8,"P5")*5)+(COUNTIF(F8:AJ8,"P6")*6)+(COUNTIF(F8:AJ8,"P7")*7)+(COUNTIF(F8:AJ8,"P8")*8)</f>
        <v>4</v>
      </c>
      <c r="AQ8" s="28">
        <f t="shared" si="2"/>
        <v>0.5</v>
      </c>
      <c r="AR8" s="2">
        <f t="shared" ref="AR8:AR10" si="9">AO8+AQ8</f>
        <v>24.5</v>
      </c>
      <c r="AS8" s="29">
        <f t="shared" ref="AS8:AS10" si="10">AR8*E8</f>
        <v>19601.143333333333</v>
      </c>
      <c r="AT8" s="23"/>
    </row>
    <row r="9" spans="1:47" ht="21" customHeight="1">
      <c r="A9" s="9">
        <v>5</v>
      </c>
      <c r="B9" s="9" t="s">
        <v>33</v>
      </c>
      <c r="C9" s="12"/>
      <c r="D9" s="38" t="s">
        <v>40</v>
      </c>
      <c r="E9" s="18">
        <f>VLOOKUP(D9,'Sheet Tool'!$B$3:$C$15,2,0)/$C$3</f>
        <v>855.58333333333337</v>
      </c>
      <c r="F9" s="19" t="s">
        <v>8</v>
      </c>
      <c r="G9" s="19" t="s">
        <v>44</v>
      </c>
      <c r="H9" s="19" t="s">
        <v>44</v>
      </c>
      <c r="I9" s="19" t="s">
        <v>44</v>
      </c>
      <c r="J9" s="19" t="s">
        <v>44</v>
      </c>
      <c r="K9" s="19" t="s">
        <v>44</v>
      </c>
      <c r="L9" s="19" t="s">
        <v>44</v>
      </c>
      <c r="M9" s="19" t="s">
        <v>8</v>
      </c>
      <c r="N9" s="19" t="s">
        <v>44</v>
      </c>
      <c r="O9" s="19" t="s">
        <v>44</v>
      </c>
      <c r="P9" s="19" t="s">
        <v>44</v>
      </c>
      <c r="Q9" s="19" t="s">
        <v>44</v>
      </c>
      <c r="R9" s="19" t="s">
        <v>44</v>
      </c>
      <c r="S9" s="19" t="s">
        <v>44</v>
      </c>
      <c r="T9" s="19" t="s">
        <v>8</v>
      </c>
      <c r="U9" s="19" t="s">
        <v>44</v>
      </c>
      <c r="V9" s="19" t="s">
        <v>44</v>
      </c>
      <c r="W9" s="19" t="s">
        <v>44</v>
      </c>
      <c r="X9" s="19" t="s">
        <v>44</v>
      </c>
      <c r="Y9" s="19" t="s">
        <v>44</v>
      </c>
      <c r="Z9" s="19" t="s">
        <v>44</v>
      </c>
      <c r="AA9" s="19" t="s">
        <v>8</v>
      </c>
      <c r="AB9" s="19" t="s">
        <v>44</v>
      </c>
      <c r="AC9" s="19" t="s">
        <v>44</v>
      </c>
      <c r="AD9" s="19" t="s">
        <v>44</v>
      </c>
      <c r="AE9" s="19" t="s">
        <v>44</v>
      </c>
      <c r="AF9" s="19" t="s">
        <v>44</v>
      </c>
      <c r="AG9" s="19" t="s">
        <v>44</v>
      </c>
      <c r="AH9" s="19"/>
      <c r="AI9" s="19"/>
      <c r="AJ9" s="19"/>
      <c r="AK9" s="2">
        <f t="shared" si="3"/>
        <v>24</v>
      </c>
      <c r="AL9" s="2">
        <f t="shared" si="4"/>
        <v>0</v>
      </c>
      <c r="AM9" s="2">
        <f t="shared" si="5"/>
        <v>4</v>
      </c>
      <c r="AN9" s="2">
        <f t="shared" si="6"/>
        <v>0</v>
      </c>
      <c r="AO9" s="2">
        <f t="shared" si="7"/>
        <v>24</v>
      </c>
      <c r="AP9" s="2">
        <f t="shared" si="8"/>
        <v>0</v>
      </c>
      <c r="AQ9" s="28">
        <f t="shared" si="2"/>
        <v>0</v>
      </c>
      <c r="AR9" s="2">
        <f t="shared" si="9"/>
        <v>24</v>
      </c>
      <c r="AS9" s="29">
        <f t="shared" si="10"/>
        <v>20534</v>
      </c>
      <c r="AT9" s="23"/>
    </row>
    <row r="10" spans="1:47" ht="21" customHeight="1">
      <c r="A10" s="9"/>
      <c r="B10" s="9"/>
      <c r="C10" s="12"/>
      <c r="D10" s="38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2">
        <f t="shared" si="3"/>
        <v>0</v>
      </c>
      <c r="AL10" s="2">
        <f t="shared" si="4"/>
        <v>0</v>
      </c>
      <c r="AM10" s="2">
        <f t="shared" si="5"/>
        <v>0</v>
      </c>
      <c r="AN10" s="2">
        <f t="shared" si="6"/>
        <v>0</v>
      </c>
      <c r="AO10" s="2">
        <f t="shared" si="7"/>
        <v>0</v>
      </c>
      <c r="AP10" s="2">
        <f t="shared" si="8"/>
        <v>0</v>
      </c>
      <c r="AQ10" s="28">
        <f t="shared" si="2"/>
        <v>0</v>
      </c>
      <c r="AR10" s="2">
        <f t="shared" si="9"/>
        <v>0</v>
      </c>
      <c r="AS10" s="29">
        <f t="shared" si="10"/>
        <v>0</v>
      </c>
      <c r="AT10" s="23"/>
    </row>
    <row r="11" spans="1:47" ht="18">
      <c r="A11" s="30"/>
      <c r="B11" s="30"/>
      <c r="C11" s="30"/>
      <c r="D11" s="30"/>
      <c r="E11" s="22"/>
      <c r="F11" s="1">
        <f t="shared" ref="F11:AJ11" si="11">COUNTIF(F5:F10,"p8")+COUNTIF(F5:F10,"P")+COUNTIF(F5:F10,"P4")</f>
        <v>0</v>
      </c>
      <c r="G11" s="1">
        <f t="shared" si="11"/>
        <v>5</v>
      </c>
      <c r="H11" s="1">
        <f t="shared" si="11"/>
        <v>5</v>
      </c>
      <c r="I11" s="1">
        <f t="shared" si="11"/>
        <v>5</v>
      </c>
      <c r="J11" s="1">
        <f t="shared" si="11"/>
        <v>5</v>
      </c>
      <c r="K11" s="1">
        <f t="shared" si="11"/>
        <v>5</v>
      </c>
      <c r="L11" s="1">
        <f t="shared" si="11"/>
        <v>5</v>
      </c>
      <c r="M11" s="1">
        <f t="shared" si="11"/>
        <v>0</v>
      </c>
      <c r="N11" s="1">
        <f t="shared" si="11"/>
        <v>5</v>
      </c>
      <c r="O11" s="1">
        <f t="shared" si="11"/>
        <v>5</v>
      </c>
      <c r="P11" s="1">
        <f t="shared" si="11"/>
        <v>5</v>
      </c>
      <c r="Q11" s="1">
        <f t="shared" si="11"/>
        <v>3</v>
      </c>
      <c r="R11" s="1">
        <f t="shared" si="11"/>
        <v>4</v>
      </c>
      <c r="S11" s="1">
        <f t="shared" si="11"/>
        <v>5</v>
      </c>
      <c r="T11" s="1">
        <f t="shared" si="11"/>
        <v>0</v>
      </c>
      <c r="U11" s="1">
        <f t="shared" si="11"/>
        <v>5</v>
      </c>
      <c r="V11" s="1">
        <f t="shared" si="11"/>
        <v>5</v>
      </c>
      <c r="W11" s="1">
        <f t="shared" si="11"/>
        <v>4</v>
      </c>
      <c r="X11" s="1">
        <f t="shared" si="11"/>
        <v>5</v>
      </c>
      <c r="Y11" s="1">
        <f t="shared" si="11"/>
        <v>5</v>
      </c>
      <c r="Z11" s="1">
        <f t="shared" si="11"/>
        <v>5</v>
      </c>
      <c r="AA11" s="1">
        <f t="shared" si="11"/>
        <v>0</v>
      </c>
      <c r="AB11" s="1">
        <f t="shared" si="11"/>
        <v>5</v>
      </c>
      <c r="AC11" s="1">
        <f t="shared" si="11"/>
        <v>5</v>
      </c>
      <c r="AD11" s="1">
        <f t="shared" si="11"/>
        <v>3</v>
      </c>
      <c r="AE11" s="1">
        <f t="shared" si="11"/>
        <v>5</v>
      </c>
      <c r="AF11" s="1">
        <f t="shared" si="11"/>
        <v>5</v>
      </c>
      <c r="AG11" s="1">
        <f t="shared" si="11"/>
        <v>5</v>
      </c>
      <c r="AH11" s="1">
        <f t="shared" si="11"/>
        <v>0</v>
      </c>
      <c r="AI11" s="1">
        <f t="shared" si="11"/>
        <v>0</v>
      </c>
      <c r="AJ11" s="1">
        <f t="shared" si="11"/>
        <v>0</v>
      </c>
      <c r="AK11" s="2">
        <f>SUM(AK5:AK10)</f>
        <v>117</v>
      </c>
      <c r="AL11" s="2"/>
      <c r="AM11" s="2"/>
      <c r="AN11" s="2"/>
      <c r="AO11" s="2">
        <f>SUM(AO5:AO10)</f>
        <v>117</v>
      </c>
      <c r="AP11" s="2"/>
      <c r="AQ11" s="28">
        <f>SUM(AQ5:AQ10)</f>
        <v>3.125</v>
      </c>
      <c r="AR11" s="2">
        <f>SUM(AR5:AR10)</f>
        <v>120.125</v>
      </c>
      <c r="AS11" s="29">
        <f>SUM(AS5:AS10)</f>
        <v>96161.262864583347</v>
      </c>
      <c r="AT11" s="23"/>
    </row>
    <row r="12" spans="1:47" ht="17.25" thickBot="1">
      <c r="AT12" s="10"/>
    </row>
    <row r="13" spans="1:47" ht="18" thickBot="1">
      <c r="A13" s="20" t="s">
        <v>5</v>
      </c>
      <c r="B13" s="11" t="s">
        <v>14</v>
      </c>
      <c r="C13" s="15" t="s">
        <v>15</v>
      </c>
      <c r="D13" s="39" t="s">
        <v>16</v>
      </c>
      <c r="E13" s="42" t="s">
        <v>13</v>
      </c>
    </row>
    <row r="14" spans="1:47" ht="18" thickBot="1">
      <c r="A14" s="16" t="s">
        <v>40</v>
      </c>
      <c r="B14" s="32">
        <f>IFERROR(VLOOKUP(A14,$D$5:$AT10,41,0), "")</f>
        <v>24</v>
      </c>
      <c r="C14" s="13">
        <v>0</v>
      </c>
      <c r="D14" s="40">
        <f>IFERROR(VLOOKUP(A14,'Sheet Tool'!$B$3:$C$20,2,0)/$C$3, "")</f>
        <v>855.58333333333337</v>
      </c>
      <c r="E14" s="41">
        <f>IFERROR(D14*B14, "")</f>
        <v>20534</v>
      </c>
    </row>
    <row r="15" spans="1:47" ht="18" thickBot="1">
      <c r="A15" s="16" t="s">
        <v>20</v>
      </c>
      <c r="B15" s="32">
        <f>IFERROR(VLOOKUP(A15,$D$5:$AT11,41,0), "")</f>
        <v>23.375</v>
      </c>
      <c r="C15" s="13">
        <f>COUNTIF(D5:D10,A15)</f>
        <v>1</v>
      </c>
      <c r="D15" s="40">
        <f>IFERROR(VLOOKUP(A15,'Sheet Tool'!$B$3:$C$20,2,0)/$C$3, "")</f>
        <v>782.21458333333339</v>
      </c>
      <c r="E15" s="41">
        <f t="shared" ref="E15:E17" si="12">IFERROR(D15*B15, "")</f>
        <v>18284.265885416669</v>
      </c>
    </row>
    <row r="16" spans="1:47" ht="18" thickBot="1">
      <c r="A16" s="16" t="s">
        <v>9</v>
      </c>
      <c r="B16" s="32">
        <f>IFERROR(VLOOKUP(A16,$D$5:$AT12,41,0), "")</f>
        <v>23</v>
      </c>
      <c r="C16" s="13">
        <f>COUNTIF(D6:D11,A16)</f>
        <v>2</v>
      </c>
      <c r="D16" s="40">
        <f>IFERROR(VLOOKUP(A16,'Sheet Tool'!$B$3:$C$20,2,0)/$C$3, "")</f>
        <v>782.21458333333339</v>
      </c>
      <c r="E16" s="41">
        <f t="shared" si="12"/>
        <v>17990.935416666667</v>
      </c>
    </row>
    <row r="17" spans="1:26" ht="18" thickBot="1">
      <c r="A17" s="16" t="s">
        <v>17</v>
      </c>
      <c r="B17" s="32">
        <f>IFERROR(VLOOKUP(A17,$D$5:$AT13,41,0), "")</f>
        <v>24.5</v>
      </c>
      <c r="C17" s="13">
        <f>COUNTIF(E7:E12,A17)</f>
        <v>0</v>
      </c>
      <c r="D17" s="40">
        <f>IFERROR(VLOOKUP(A17,'Sheet Tool'!$B$3:$C$20,2,0)/$C$3, "")</f>
        <v>800.04666666666662</v>
      </c>
      <c r="E17" s="41">
        <f t="shared" si="12"/>
        <v>19601.143333333333</v>
      </c>
    </row>
    <row r="18" spans="1:26" ht="18" thickBot="1">
      <c r="A18" s="21" t="s">
        <v>35</v>
      </c>
      <c r="B18" s="33">
        <f>SUM(B14:B17)</f>
        <v>94.875</v>
      </c>
      <c r="C18" s="14">
        <f>SUM(C14:C17)</f>
        <v>3</v>
      </c>
      <c r="D18" s="42"/>
      <c r="E18" s="43">
        <f>SUM(E14:E17)</f>
        <v>76410.344635416666</v>
      </c>
      <c r="Z18" s="27"/>
    </row>
    <row r="19" spans="1:26" ht="18" thickBot="1">
      <c r="A19" s="45" t="s">
        <v>36</v>
      </c>
      <c r="B19" s="47">
        <v>0.15</v>
      </c>
      <c r="E19" s="48">
        <f>E18*B19</f>
        <v>11461.551695312499</v>
      </c>
    </row>
    <row r="20" spans="1:26" ht="18" thickBot="1">
      <c r="A20" s="46" t="s">
        <v>37</v>
      </c>
      <c r="B20" s="31"/>
      <c r="E20" s="48">
        <f>E19+E18</f>
        <v>87871.896330729171</v>
      </c>
    </row>
    <row r="21" spans="1:26" ht="18" thickBot="1">
      <c r="A21" s="46" t="s">
        <v>38</v>
      </c>
      <c r="B21" s="34"/>
      <c r="E21" s="48">
        <f>E20*18%</f>
        <v>15816.941339531249</v>
      </c>
    </row>
    <row r="22" spans="1:26" ht="18" thickBot="1">
      <c r="A22" s="46" t="s">
        <v>39</v>
      </c>
      <c r="B22" s="34"/>
      <c r="E22" s="48">
        <f>E21+E20</f>
        <v>103688.83767026041</v>
      </c>
    </row>
    <row r="23" spans="1:26">
      <c r="E23" s="34"/>
      <c r="H23" s="17"/>
    </row>
  </sheetData>
  <sheetProtection algorithmName="SHA-512" hashValue="X99lq71n8tFAzoxuFxUU6eXJzKvXSbgTi9hd3CJjNLAdRBDPP8TfdMd0GHGvYwpADTUswAlS0MYd8S8IopN4xw==" saltValue="hqrPCvusYIM8+6deUvLzuA==" spinCount="100000" sheet="1" insertRows="0" autoFilter="0" pivotTables="0"/>
  <mergeCells count="4">
    <mergeCell ref="F1:L1"/>
    <mergeCell ref="A2:F2"/>
    <mergeCell ref="G2:T2"/>
    <mergeCell ref="U2:W2"/>
  </mergeCells>
  <conditionalFormatting sqref="F5:AJ11">
    <cfRule type="expression" dxfId="17" priority="16">
      <formula>F$3="Sat"</formula>
    </cfRule>
    <cfRule type="expression" dxfId="16" priority="17">
      <formula>F$3="Sun"</formula>
    </cfRule>
  </conditionalFormatting>
  <conditionalFormatting sqref="F11:AJ11">
    <cfRule type="expression" dxfId="15" priority="10">
      <formula>F$3="Sat"</formula>
    </cfRule>
    <cfRule type="expression" dxfId="14" priority="11">
      <formula>F$3="Sun"</formula>
    </cfRule>
    <cfRule type="expression" dxfId="13" priority="12">
      <formula>F$3="Sat"</formula>
    </cfRule>
    <cfRule type="expression" dxfId="12" priority="13">
      <formula>F$3="Sun"</formula>
    </cfRule>
    <cfRule type="expression" dxfId="11" priority="14">
      <formula>F$3="Sat"</formula>
    </cfRule>
    <cfRule type="expression" dxfId="10" priority="15">
      <formula>F$3="Sun"</formula>
    </cfRule>
  </conditionalFormatting>
  <conditionalFormatting sqref="G11:AJ11">
    <cfRule type="expression" dxfId="9" priority="2">
      <formula>G$3="Sat"</formula>
    </cfRule>
    <cfRule type="expression" dxfId="8" priority="3">
      <formula>G$3="Sun"</formula>
    </cfRule>
    <cfRule type="expression" dxfId="7" priority="4">
      <formula>G$3="Sat"</formula>
    </cfRule>
    <cfRule type="expression" dxfId="6" priority="5">
      <formula>G$3="Sun"</formula>
    </cfRule>
    <cfRule type="expression" dxfId="5" priority="6">
      <formula>G$3="Sat"</formula>
    </cfRule>
    <cfRule type="expression" dxfId="4" priority="7">
      <formula>G$3="Sun"</formula>
    </cfRule>
    <cfRule type="expression" dxfId="3" priority="8">
      <formula>G$3="Sat"</formula>
    </cfRule>
    <cfRule type="expression" dxfId="2" priority="9">
      <formula>G$3="Sun"</formula>
    </cfRule>
  </conditionalFormatting>
  <conditionalFormatting sqref="Z5:Z10 AG5:AG10 AA6:AA10">
    <cfRule type="expression" dxfId="1" priority="1">
      <formula>Z$3="Sat"</formula>
    </cfRule>
  </conditionalFormatting>
  <conditionalFormatting sqref="AI5:AI6 AI7:AJ10">
    <cfRule type="expression" dxfId="0" priority="18">
      <formula>AI$3="Sun"</formula>
    </cfRule>
  </conditionalFormatting>
  <dataValidations count="1">
    <dataValidation type="list" allowBlank="1" showInputMessage="1" showErrorMessage="1" sqref="F5:AJ10" xr:uid="{00000000-0002-0000-0200-000000000000}">
      <formula1>"P,A,WO,P1,P2,P3,P4,P5,P6,P7,P8,HD"</formula1>
    </dataValidation>
  </dataValidations>
  <pageMargins left="0.15748031496062992" right="0.15748031496062992" top="0.6692913385826772" bottom="0.31496062992125984" header="0.31496062992125984" footer="0.31496062992125984"/>
  <pageSetup paperSize="9" scale="47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1000000}">
          <x14:formula1>
            <xm:f>'Sheet Tool'!$I$3:$I$5</xm:f>
          </x14:formula1>
          <xm:sqref>B5:B10</xm:sqref>
        </x14:dataValidation>
        <x14:dataValidation type="list" allowBlank="1" showInputMessage="1" showErrorMessage="1" xr:uid="{00000000-0002-0000-0200-000002000000}">
          <x14:formula1>
            <xm:f>'Sheet Tool'!$E$3:$E$5</xm:f>
          </x14:formula1>
          <xm:sqref>F1</xm:sqref>
        </x14:dataValidation>
        <x14:dataValidation type="list" allowBlank="1" showInputMessage="1" showErrorMessage="1" xr:uid="{00000000-0002-0000-0200-000004000000}">
          <x14:formula1>
            <xm:f>'Sheet Tool'!$G$3:$G$8</xm:f>
          </x14:formula1>
          <xm:sqref>A2:F2</xm:sqref>
        </x14:dataValidation>
        <x14:dataValidation type="list" allowBlank="1" showInputMessage="1" showErrorMessage="1" xr:uid="{00000000-0002-0000-0200-000005000000}">
          <x14:formula1>
            <xm:f>'Sheet Tool'!$I$3:$I$7</xm:f>
          </x14:formula1>
          <xm:sqref>Y2</xm:sqref>
        </x14:dataValidation>
        <x14:dataValidation type="list" allowBlank="1" showInputMessage="1" showErrorMessage="1" xr:uid="{00000000-0002-0000-0200-000003000000}">
          <x14:formula1>
            <xm:f>'Sheet Tool'!$B$3:$B$16</xm:f>
          </x14:formula1>
          <xm:sqref>D5:D10</xm:sqref>
        </x14:dataValidation>
        <x14:dataValidation type="list" allowBlank="1" showInputMessage="1" showErrorMessage="1" xr:uid="{00000000-0002-0000-0200-000006000000}">
          <x14:formula1>
            <xm:f>'Sheet Tool'!$B$3:$B$8</xm:f>
          </x14:formula1>
          <xm:sqref>A14:A17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Template File</vt:lpstr>
      <vt:lpstr>Sheet Tool</vt:lpstr>
      <vt:lpstr>Viman Nagar Vs Manpower Feb-26</vt:lpstr>
      <vt:lpstr>'Template File'!Print_Area</vt:lpstr>
      <vt:lpstr>'Viman Nagar Vs Manpower Feb-26'!Print_Area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Shirish Shriram Kolambekar</dc:creator>
  <cp:lastModifiedBy>Admin</cp:lastModifiedBy>
  <cp:lastPrinted>2026-02-11T13:22:03Z</cp:lastPrinted>
  <dcterms:created xsi:type="dcterms:W3CDTF">2020-07-24T07:08:16Z</dcterms:created>
  <dcterms:modified xsi:type="dcterms:W3CDTF">2026-02-14T14:40:43Z</dcterms:modified>
</cp:coreProperties>
</file>